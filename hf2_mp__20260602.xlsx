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d188342875b761/문서/VS_sidePJ/model_portfolio/"/>
    </mc:Choice>
  </mc:AlternateContent>
  <xr:revisionPtr revIDLastSave="16" documentId="13_ncr:1_{A8A501F5-017E-4E33-9423-8F3972AA82E4}" xr6:coauthVersionLast="47" xr6:coauthVersionMax="47" xr10:uidLastSave="{10704618-299F-4BB9-BF2C-6BE4B26BAB6B}"/>
  <bookViews>
    <workbookView xWindow="-120" yWindow="-120" windowWidth="29040" windowHeight="15720" xr2:uid="{512E1DFE-C549-490E-9844-F2FEF6007C3C}"/>
  </bookViews>
  <sheets>
    <sheet name="MP" sheetId="9" r:id="rId1"/>
    <sheet name="인컴2" sheetId="6" r:id="rId2"/>
    <sheet name="블루1" sheetId="7" r:id="rId3"/>
    <sheet name="블루3" sheetId="8" r:id="rId4"/>
    <sheet name="아이타스41718_편드편입비정보" sheetId="10" r:id="rId5"/>
  </sheets>
  <definedNames>
    <definedName name="_xlnm._FilterDatabase" localSheetId="2" hidden="1">블루1!$A$2:$R$2</definedName>
    <definedName name="_xlnm._FilterDatabase" localSheetId="3" hidden="1">블루3!$A$2:$R$2</definedName>
    <definedName name="_xlnm._FilterDatabase" localSheetId="1" hidden="1">인컴2!$A$2:$R$2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9" l="1"/>
  <c r="D14" i="9"/>
  <c r="Q14" i="9" s="1"/>
  <c r="S13" i="9"/>
  <c r="D13" i="9"/>
  <c r="F13" i="9" s="1"/>
  <c r="S12" i="9"/>
  <c r="D12" i="9"/>
  <c r="F12" i="9" s="1"/>
  <c r="S15" i="9"/>
  <c r="D15" i="9"/>
  <c r="Q15" i="9" s="1"/>
  <c r="S64" i="9"/>
  <c r="S25" i="9"/>
  <c r="D25" i="9"/>
  <c r="Q25" i="9" s="1"/>
  <c r="Q59" i="9"/>
  <c r="N59" i="9"/>
  <c r="M59" i="9"/>
  <c r="J59" i="9"/>
  <c r="I59" i="9"/>
  <c r="F59" i="9"/>
  <c r="S16" i="9"/>
  <c r="D16" i="9"/>
  <c r="Q16" i="9" s="1"/>
  <c r="S17" i="9"/>
  <c r="D17" i="9"/>
  <c r="Q17" i="9" s="1"/>
  <c r="S81" i="9"/>
  <c r="D81" i="9"/>
  <c r="F81" i="9" s="1"/>
  <c r="S18" i="9"/>
  <c r="D18" i="9"/>
  <c r="Q18" i="9" s="1"/>
  <c r="A3" i="9"/>
  <c r="D19" i="9"/>
  <c r="F19" i="9" s="1"/>
  <c r="S19" i="9"/>
  <c r="D53" i="9"/>
  <c r="Q53" i="9" s="1"/>
  <c r="S53" i="9"/>
  <c r="D54" i="9"/>
  <c r="Q54" i="9" s="1"/>
  <c r="S54" i="9"/>
  <c r="D55" i="9"/>
  <c r="Q55" i="9" s="1"/>
  <c r="S55" i="9"/>
  <c r="D11" i="9"/>
  <c r="F11" i="9" s="1"/>
  <c r="S11" i="9"/>
  <c r="B32" i="9"/>
  <c r="B39" i="9"/>
  <c r="S10" i="9"/>
  <c r="D10" i="9"/>
  <c r="Q10" i="9" s="1"/>
  <c r="S57" i="9"/>
  <c r="D57" i="9"/>
  <c r="Q57" i="9" s="1"/>
  <c r="S44" i="9"/>
  <c r="D44" i="9"/>
  <c r="Q44" i="9" s="1"/>
  <c r="S43" i="9"/>
  <c r="D43" i="9"/>
  <c r="Q43" i="9" s="1"/>
  <c r="S32" i="9"/>
  <c r="D32" i="9"/>
  <c r="Q32" i="9" s="1"/>
  <c r="B73" i="9"/>
  <c r="B67" i="9"/>
  <c r="B63" i="9"/>
  <c r="B58" i="9"/>
  <c r="B52" i="9"/>
  <c r="B43" i="9"/>
  <c r="B26" i="9"/>
  <c r="B22" i="9"/>
  <c r="B8" i="9"/>
  <c r="D39" i="9"/>
  <c r="Q39" i="9" s="1"/>
  <c r="I12" i="9" l="1"/>
  <c r="J13" i="9"/>
  <c r="J12" i="9"/>
  <c r="F14" i="9"/>
  <c r="I13" i="9"/>
  <c r="M12" i="9"/>
  <c r="I14" i="9"/>
  <c r="N12" i="9"/>
  <c r="J14" i="9"/>
  <c r="M13" i="9"/>
  <c r="N13" i="9"/>
  <c r="Q12" i="9"/>
  <c r="M14" i="9"/>
  <c r="N14" i="9"/>
  <c r="Q13" i="9"/>
  <c r="F15" i="9"/>
  <c r="J15" i="9"/>
  <c r="N15" i="9"/>
  <c r="I15" i="9"/>
  <c r="M15" i="9"/>
  <c r="I57" i="9"/>
  <c r="M25" i="9"/>
  <c r="F25" i="9"/>
  <c r="I25" i="9"/>
  <c r="J25" i="9"/>
  <c r="N25" i="9"/>
  <c r="I43" i="9"/>
  <c r="J57" i="9"/>
  <c r="I54" i="9"/>
  <c r="N81" i="9"/>
  <c r="M81" i="9"/>
  <c r="F32" i="9"/>
  <c r="F39" i="9"/>
  <c r="F44" i="9"/>
  <c r="F53" i="9"/>
  <c r="F55" i="9"/>
  <c r="I32" i="9"/>
  <c r="I39" i="9"/>
  <c r="I44" i="9"/>
  <c r="I53" i="9"/>
  <c r="I55" i="9"/>
  <c r="J32" i="9"/>
  <c r="J39" i="9"/>
  <c r="J44" i="9"/>
  <c r="J53" i="9"/>
  <c r="J55" i="9"/>
  <c r="M32" i="9"/>
  <c r="M39" i="9"/>
  <c r="M44" i="9"/>
  <c r="M53" i="9"/>
  <c r="M55" i="9"/>
  <c r="N32" i="9"/>
  <c r="N39" i="9"/>
  <c r="N44" i="9"/>
  <c r="N53" i="9"/>
  <c r="N55" i="9"/>
  <c r="F43" i="9"/>
  <c r="F54" i="9"/>
  <c r="F57" i="9"/>
  <c r="Q81" i="9"/>
  <c r="M43" i="9"/>
  <c r="M54" i="9"/>
  <c r="M57" i="9"/>
  <c r="J81" i="9"/>
  <c r="J43" i="9"/>
  <c r="J54" i="9"/>
  <c r="N43" i="9"/>
  <c r="N54" i="9"/>
  <c r="N57" i="9"/>
  <c r="I81" i="9"/>
  <c r="J17" i="9"/>
  <c r="M17" i="9"/>
  <c r="F17" i="9"/>
  <c r="I17" i="9"/>
  <c r="N17" i="9"/>
  <c r="I16" i="9"/>
  <c r="M16" i="9"/>
  <c r="J16" i="9"/>
  <c r="N16" i="9"/>
  <c r="F16" i="9"/>
  <c r="I18" i="9"/>
  <c r="F18" i="9"/>
  <c r="J18" i="9"/>
  <c r="M18" i="9"/>
  <c r="N18" i="9"/>
  <c r="Q19" i="9"/>
  <c r="N19" i="9"/>
  <c r="M19" i="9"/>
  <c r="J19" i="9"/>
  <c r="I19" i="9"/>
  <c r="B83" i="9"/>
  <c r="C3" i="9" s="1"/>
  <c r="I11" i="9"/>
  <c r="M11" i="9"/>
  <c r="Q11" i="9"/>
  <c r="M10" i="9"/>
  <c r="I10" i="9"/>
  <c r="N11" i="9"/>
  <c r="J11" i="9"/>
  <c r="F10" i="9"/>
  <c r="J10" i="9"/>
  <c r="N10" i="9"/>
  <c r="N2" i="9"/>
  <c r="N1" i="9"/>
  <c r="J2" i="9"/>
  <c r="J1" i="9"/>
  <c r="F2" i="9"/>
  <c r="F1" i="9"/>
  <c r="S48" i="9"/>
  <c r="D48" i="9"/>
  <c r="F48" i="9" l="1"/>
  <c r="I48" i="9"/>
  <c r="M48" i="9"/>
  <c r="J48" i="9"/>
  <c r="Q48" i="9"/>
  <c r="N48" i="9"/>
  <c r="X3" i="9"/>
  <c r="E61" i="9"/>
  <c r="D7" i="9"/>
  <c r="D8" i="9"/>
  <c r="D9" i="9"/>
  <c r="D21" i="9"/>
  <c r="D22" i="9"/>
  <c r="D23" i="9"/>
  <c r="D26" i="9"/>
  <c r="D27" i="9"/>
  <c r="D28" i="9"/>
  <c r="D29" i="9"/>
  <c r="D31" i="9"/>
  <c r="D33" i="9"/>
  <c r="D34" i="9"/>
  <c r="D35" i="9"/>
  <c r="D36" i="9"/>
  <c r="D38" i="9"/>
  <c r="D40" i="9"/>
  <c r="D42" i="9"/>
  <c r="D45" i="9"/>
  <c r="D46" i="9"/>
  <c r="D47" i="9"/>
  <c r="D49" i="9"/>
  <c r="D51" i="9"/>
  <c r="D52" i="9"/>
  <c r="D58" i="9"/>
  <c r="D60" i="9"/>
  <c r="D62" i="9"/>
  <c r="D63" i="9"/>
  <c r="D64" i="9"/>
  <c r="D66" i="9"/>
  <c r="D67" i="9"/>
  <c r="D68" i="9"/>
  <c r="D69" i="9"/>
  <c r="D70" i="9"/>
  <c r="D72" i="9"/>
  <c r="D73" i="9"/>
  <c r="D74" i="9"/>
  <c r="D75" i="9"/>
  <c r="D77" i="9"/>
  <c r="D78" i="9"/>
  <c r="D79" i="9"/>
  <c r="D80" i="9"/>
  <c r="S7" i="9"/>
  <c r="S8" i="9"/>
  <c r="S9" i="9"/>
  <c r="E50" i="9"/>
  <c r="E41" i="9"/>
  <c r="E37" i="9"/>
  <c r="E76" i="9"/>
  <c r="E71" i="9"/>
  <c r="E65" i="9"/>
  <c r="E56" i="9"/>
  <c r="S49" i="9"/>
  <c r="E30" i="9"/>
  <c r="E24" i="9"/>
  <c r="E20" i="9"/>
  <c r="S80" i="9"/>
  <c r="S79" i="9"/>
  <c r="S78" i="9"/>
  <c r="S77" i="9"/>
  <c r="S76" i="9"/>
  <c r="S75" i="9"/>
  <c r="S74" i="9"/>
  <c r="S73" i="9"/>
  <c r="S72" i="9"/>
  <c r="S71" i="9"/>
  <c r="S70" i="9"/>
  <c r="S69" i="9"/>
  <c r="S68" i="9"/>
  <c r="S67" i="9"/>
  <c r="S66" i="9"/>
  <c r="S65" i="9"/>
  <c r="S63" i="9"/>
  <c r="S62" i="9"/>
  <c r="S61" i="9"/>
  <c r="S60" i="9"/>
  <c r="S58" i="9"/>
  <c r="S56" i="9"/>
  <c r="S52" i="9"/>
  <c r="S51" i="9"/>
  <c r="S50" i="9"/>
  <c r="S47" i="9"/>
  <c r="S46" i="9"/>
  <c r="S45" i="9"/>
  <c r="S42" i="9"/>
  <c r="S41" i="9"/>
  <c r="S40" i="9"/>
  <c r="S39" i="9"/>
  <c r="S38" i="9"/>
  <c r="S37" i="9"/>
  <c r="S36" i="9"/>
  <c r="S35" i="9"/>
  <c r="S34" i="9"/>
  <c r="S33" i="9"/>
  <c r="S31" i="9"/>
  <c r="S30" i="9"/>
  <c r="S29" i="9"/>
  <c r="S28" i="9"/>
  <c r="S27" i="9"/>
  <c r="S26" i="9"/>
  <c r="S24" i="9"/>
  <c r="S23" i="9"/>
  <c r="S22" i="9"/>
  <c r="S21" i="9"/>
  <c r="S92" i="9"/>
  <c r="S91" i="9"/>
  <c r="S90" i="9"/>
  <c r="S89" i="9"/>
  <c r="S88" i="9"/>
  <c r="S87" i="9"/>
  <c r="S86" i="9"/>
  <c r="S85" i="9"/>
  <c r="S84" i="9"/>
  <c r="S83" i="9"/>
  <c r="S82" i="9"/>
  <c r="Q74" i="9" l="1"/>
  <c r="N74" i="9"/>
  <c r="J74" i="9"/>
  <c r="M74" i="9"/>
  <c r="I74" i="9"/>
  <c r="F74" i="9"/>
  <c r="Q73" i="9"/>
  <c r="N73" i="9"/>
  <c r="M73" i="9"/>
  <c r="J73" i="9"/>
  <c r="I73" i="9"/>
  <c r="F73" i="9"/>
  <c r="Q52" i="9"/>
  <c r="N52" i="9"/>
  <c r="J52" i="9"/>
  <c r="I52" i="9"/>
  <c r="M52" i="9"/>
  <c r="F52" i="9"/>
  <c r="Q33" i="9"/>
  <c r="N33" i="9"/>
  <c r="J33" i="9"/>
  <c r="M33" i="9"/>
  <c r="F33" i="9"/>
  <c r="I33" i="9"/>
  <c r="Q72" i="9"/>
  <c r="N72" i="9"/>
  <c r="J72" i="9"/>
  <c r="M72" i="9"/>
  <c r="I72" i="9"/>
  <c r="F72" i="9"/>
  <c r="Q51" i="9"/>
  <c r="N51" i="9"/>
  <c r="M51" i="9"/>
  <c r="J51" i="9"/>
  <c r="I51" i="9"/>
  <c r="F51" i="9"/>
  <c r="Q31" i="9"/>
  <c r="N31" i="9"/>
  <c r="J31" i="9"/>
  <c r="M31" i="9"/>
  <c r="F31" i="9"/>
  <c r="I31" i="9"/>
  <c r="F70" i="9"/>
  <c r="I70" i="9"/>
  <c r="M70" i="9"/>
  <c r="J70" i="9"/>
  <c r="N70" i="9"/>
  <c r="Q70" i="9"/>
  <c r="F49" i="9"/>
  <c r="I49" i="9"/>
  <c r="J49" i="9"/>
  <c r="M49" i="9"/>
  <c r="N49" i="9"/>
  <c r="Q49" i="9"/>
  <c r="Q29" i="9"/>
  <c r="N29" i="9"/>
  <c r="M29" i="9"/>
  <c r="J29" i="9"/>
  <c r="I29" i="9"/>
  <c r="F29" i="9"/>
  <c r="F69" i="9"/>
  <c r="I69" i="9"/>
  <c r="J69" i="9"/>
  <c r="M69" i="9"/>
  <c r="N69" i="9"/>
  <c r="Q69" i="9"/>
  <c r="Q47" i="9"/>
  <c r="N47" i="9"/>
  <c r="J47" i="9"/>
  <c r="I47" i="9"/>
  <c r="M47" i="9"/>
  <c r="F47" i="9"/>
  <c r="Q28" i="9"/>
  <c r="N28" i="9"/>
  <c r="J28" i="9"/>
  <c r="M28" i="9"/>
  <c r="F28" i="9"/>
  <c r="I28" i="9"/>
  <c r="Q75" i="9"/>
  <c r="N75" i="9"/>
  <c r="M75" i="9"/>
  <c r="J75" i="9"/>
  <c r="I75" i="9"/>
  <c r="F75" i="9"/>
  <c r="Q60" i="9"/>
  <c r="N60" i="9"/>
  <c r="M60" i="9"/>
  <c r="J60" i="9"/>
  <c r="I60" i="9"/>
  <c r="F60" i="9"/>
  <c r="Q35" i="9"/>
  <c r="N35" i="9"/>
  <c r="J35" i="9"/>
  <c r="M35" i="9"/>
  <c r="F35" i="9"/>
  <c r="I35" i="9"/>
  <c r="Q34" i="9"/>
  <c r="N34" i="9"/>
  <c r="M34" i="9"/>
  <c r="J34" i="9"/>
  <c r="I34" i="9"/>
  <c r="F34" i="9"/>
  <c r="Q58" i="9"/>
  <c r="N58" i="9"/>
  <c r="M58" i="9"/>
  <c r="J58" i="9"/>
  <c r="I58" i="9"/>
  <c r="F58" i="9"/>
  <c r="Q27" i="9"/>
  <c r="N27" i="9"/>
  <c r="M27" i="9"/>
  <c r="J27" i="9"/>
  <c r="I27" i="9"/>
  <c r="F27" i="9"/>
  <c r="Q67" i="9"/>
  <c r="N67" i="9"/>
  <c r="J67" i="9"/>
  <c r="M67" i="9"/>
  <c r="I67" i="9"/>
  <c r="F67" i="9"/>
  <c r="Q80" i="9"/>
  <c r="N80" i="9"/>
  <c r="M80" i="9"/>
  <c r="J80" i="9"/>
  <c r="I80" i="9"/>
  <c r="F80" i="9"/>
  <c r="Q66" i="9"/>
  <c r="N66" i="9"/>
  <c r="M66" i="9"/>
  <c r="J66" i="9"/>
  <c r="I66" i="9"/>
  <c r="F66" i="9"/>
  <c r="Q42" i="9"/>
  <c r="N42" i="9"/>
  <c r="M42" i="9"/>
  <c r="J42" i="9"/>
  <c r="I42" i="9"/>
  <c r="F42" i="9"/>
  <c r="Q26" i="9"/>
  <c r="N26" i="9"/>
  <c r="J26" i="9"/>
  <c r="M26" i="9"/>
  <c r="F26" i="9"/>
  <c r="I26" i="9"/>
  <c r="Q79" i="9"/>
  <c r="N79" i="9"/>
  <c r="J79" i="9"/>
  <c r="M79" i="9"/>
  <c r="I79" i="9"/>
  <c r="F79" i="9"/>
  <c r="Q64" i="9"/>
  <c r="N64" i="9"/>
  <c r="J64" i="9"/>
  <c r="M64" i="9"/>
  <c r="I64" i="9"/>
  <c r="F64" i="9"/>
  <c r="Q40" i="9"/>
  <c r="N40" i="9"/>
  <c r="J40" i="9"/>
  <c r="M40" i="9"/>
  <c r="F40" i="9"/>
  <c r="I40" i="9"/>
  <c r="Q23" i="9"/>
  <c r="N23" i="9"/>
  <c r="J23" i="9"/>
  <c r="M23" i="9"/>
  <c r="F23" i="9"/>
  <c r="I23" i="9"/>
  <c r="Q68" i="9"/>
  <c r="N68" i="9"/>
  <c r="M68" i="9"/>
  <c r="J68" i="9"/>
  <c r="I68" i="9"/>
  <c r="F68" i="9"/>
  <c r="Q46" i="9"/>
  <c r="N46" i="9"/>
  <c r="M46" i="9"/>
  <c r="J46" i="9"/>
  <c r="I46" i="9"/>
  <c r="F46" i="9"/>
  <c r="Q45" i="9"/>
  <c r="N45" i="9"/>
  <c r="J45" i="9"/>
  <c r="I45" i="9"/>
  <c r="M45" i="9"/>
  <c r="F45" i="9"/>
  <c r="Q78" i="9"/>
  <c r="N78" i="9"/>
  <c r="M78" i="9"/>
  <c r="J78" i="9"/>
  <c r="I78" i="9"/>
  <c r="F78" i="9"/>
  <c r="Q63" i="9"/>
  <c r="N63" i="9"/>
  <c r="M63" i="9"/>
  <c r="J63" i="9"/>
  <c r="I63" i="9"/>
  <c r="F63" i="9"/>
  <c r="Q38" i="9"/>
  <c r="N38" i="9"/>
  <c r="J38" i="9"/>
  <c r="M38" i="9"/>
  <c r="F38" i="9"/>
  <c r="I38" i="9"/>
  <c r="Q22" i="9"/>
  <c r="N22" i="9"/>
  <c r="M22" i="9"/>
  <c r="J22" i="9"/>
  <c r="I22" i="9"/>
  <c r="F22" i="9"/>
  <c r="Q77" i="9"/>
  <c r="N77" i="9"/>
  <c r="J77" i="9"/>
  <c r="M77" i="9"/>
  <c r="I77" i="9"/>
  <c r="F77" i="9"/>
  <c r="Q62" i="9"/>
  <c r="N62" i="9"/>
  <c r="J62" i="9"/>
  <c r="M62" i="9"/>
  <c r="I62" i="9"/>
  <c r="F62" i="9"/>
  <c r="F36" i="9"/>
  <c r="I36" i="9"/>
  <c r="J36" i="9"/>
  <c r="M36" i="9"/>
  <c r="N36" i="9"/>
  <c r="Q36" i="9"/>
  <c r="Q21" i="9"/>
  <c r="N21" i="9"/>
  <c r="J21" i="9"/>
  <c r="M21" i="9"/>
  <c r="F21" i="9"/>
  <c r="I21" i="9"/>
  <c r="N9" i="9"/>
  <c r="Q9" i="9"/>
  <c r="I9" i="9"/>
  <c r="M9" i="9"/>
  <c r="N8" i="9"/>
  <c r="Q8" i="9"/>
  <c r="M8" i="9"/>
  <c r="I8" i="9"/>
  <c r="N7" i="9"/>
  <c r="I7" i="9"/>
  <c r="M7" i="9"/>
  <c r="Q7" i="9"/>
  <c r="F7" i="9"/>
  <c r="F8" i="9"/>
  <c r="F9" i="9"/>
  <c r="J9" i="9"/>
  <c r="J8" i="9"/>
  <c r="J7" i="9"/>
  <c r="E83" i="9"/>
  <c r="N65" i="9" l="1"/>
  <c r="N24" i="9"/>
  <c r="F41" i="9"/>
  <c r="N76" i="9"/>
  <c r="N30" i="9"/>
  <c r="N61" i="9"/>
  <c r="F24" i="9"/>
  <c r="N71" i="9"/>
  <c r="N56" i="9"/>
  <c r="J30" i="9"/>
  <c r="F71" i="9"/>
  <c r="J65" i="9"/>
  <c r="J41" i="9"/>
  <c r="N41" i="9"/>
  <c r="F56" i="9"/>
  <c r="N50" i="9"/>
  <c r="J71" i="9"/>
  <c r="J24" i="9"/>
  <c r="F65" i="9"/>
  <c r="N37" i="9"/>
  <c r="F20" i="9"/>
  <c r="N20" i="9"/>
  <c r="J20" i="9"/>
  <c r="J61" i="9"/>
  <c r="J56" i="9"/>
  <c r="F37" i="9"/>
  <c r="J37" i="9"/>
  <c r="F76" i="9"/>
  <c r="J50" i="9"/>
  <c r="F30" i="9"/>
  <c r="F50" i="9"/>
  <c r="J76" i="9"/>
  <c r="F61" i="9"/>
  <c r="U7" i="9" a="1"/>
  <c r="U7" i="9" s="1"/>
  <c r="F82" i="9" l="1"/>
  <c r="J82" i="9"/>
  <c r="J3" i="9" s="1"/>
  <c r="J4" i="9" s="1"/>
  <c r="N82" i="9"/>
  <c r="N3" i="9" s="1"/>
  <c r="N4" i="9" s="1"/>
  <c r="F3" i="9" l="1"/>
  <c r="F4" i="9" s="1"/>
  <c r="J83" i="9"/>
  <c r="K4" i="9" s="1"/>
  <c r="N83" i="9"/>
  <c r="O4" i="9" s="1"/>
  <c r="F83" i="9"/>
  <c r="G4" i="9" s="1"/>
  <c r="G13" i="9" l="1"/>
  <c r="H13" i="9" s="1"/>
  <c r="G12" i="9"/>
  <c r="H12" i="9" s="1"/>
  <c r="G14" i="9"/>
  <c r="H14" i="9" s="1"/>
  <c r="O12" i="9"/>
  <c r="P12" i="9" s="1"/>
  <c r="O14" i="9"/>
  <c r="P14" i="9" s="1"/>
  <c r="O13" i="9"/>
  <c r="P13" i="9" s="1"/>
  <c r="K14" i="9"/>
  <c r="L14" i="9" s="1"/>
  <c r="K12" i="9"/>
  <c r="L12" i="9" s="1"/>
  <c r="K13" i="9"/>
  <c r="L13" i="9" s="1"/>
  <c r="O25" i="9"/>
  <c r="P25" i="9" s="1"/>
  <c r="O15" i="9"/>
  <c r="P15" i="9" s="1"/>
  <c r="G25" i="9"/>
  <c r="H25" i="9" s="1"/>
  <c r="G15" i="9"/>
  <c r="H15" i="9" s="1"/>
  <c r="K25" i="9"/>
  <c r="L25" i="9" s="1"/>
  <c r="K15" i="9"/>
  <c r="L15" i="9" s="1"/>
  <c r="G81" i="9"/>
  <c r="H81" i="9" s="1"/>
  <c r="G79" i="9"/>
  <c r="H79" i="9" s="1"/>
  <c r="G77" i="9"/>
  <c r="H77" i="9" s="1"/>
  <c r="G78" i="9"/>
  <c r="H78" i="9" s="1"/>
  <c r="G80" i="9"/>
  <c r="H80" i="9" s="1"/>
  <c r="K81" i="9"/>
  <c r="L81" i="9" s="1"/>
  <c r="K77" i="9"/>
  <c r="L77" i="9" s="1"/>
  <c r="K79" i="9"/>
  <c r="L79" i="9" s="1"/>
  <c r="K78" i="9"/>
  <c r="L78" i="9" s="1"/>
  <c r="K80" i="9"/>
  <c r="L80" i="9" s="1"/>
  <c r="O81" i="9"/>
  <c r="P81" i="9" s="1"/>
  <c r="O77" i="9"/>
  <c r="P77" i="9" s="1"/>
  <c r="O80" i="9"/>
  <c r="P80" i="9" s="1"/>
  <c r="O79" i="9"/>
  <c r="P79" i="9" s="1"/>
  <c r="O78" i="9"/>
  <c r="P78" i="9" s="1"/>
  <c r="G75" i="9"/>
  <c r="H75" i="9" s="1"/>
  <c r="G73" i="9"/>
  <c r="H73" i="9" s="1"/>
  <c r="G74" i="9"/>
  <c r="H74" i="9" s="1"/>
  <c r="G72" i="9"/>
  <c r="H72" i="9" s="1"/>
  <c r="O75" i="9"/>
  <c r="P75" i="9" s="1"/>
  <c r="O74" i="9"/>
  <c r="P74" i="9" s="1"/>
  <c r="O72" i="9"/>
  <c r="P72" i="9" s="1"/>
  <c r="O73" i="9"/>
  <c r="P73" i="9" s="1"/>
  <c r="K75" i="9"/>
  <c r="L75" i="9" s="1"/>
  <c r="K73" i="9"/>
  <c r="L73" i="9" s="1"/>
  <c r="K72" i="9"/>
  <c r="L72" i="9" s="1"/>
  <c r="K74" i="9"/>
  <c r="L74" i="9" s="1"/>
  <c r="O69" i="9"/>
  <c r="P69" i="9" s="1"/>
  <c r="O70" i="9"/>
  <c r="P70" i="9" s="1"/>
  <c r="G70" i="9"/>
  <c r="H70" i="9" s="1"/>
  <c r="G69" i="9"/>
  <c r="H69" i="9" s="1"/>
  <c r="K69" i="9"/>
  <c r="L69" i="9" s="1"/>
  <c r="K70" i="9"/>
  <c r="L70" i="9" s="1"/>
  <c r="O66" i="9"/>
  <c r="P66" i="9" s="1"/>
  <c r="O67" i="9"/>
  <c r="P67" i="9" s="1"/>
  <c r="O68" i="9"/>
  <c r="P68" i="9" s="1"/>
  <c r="G67" i="9"/>
  <c r="H67" i="9" s="1"/>
  <c r="G66" i="9"/>
  <c r="H66" i="9" s="1"/>
  <c r="G68" i="9"/>
  <c r="H68" i="9" s="1"/>
  <c r="K67" i="9"/>
  <c r="L67" i="9" s="1"/>
  <c r="K66" i="9"/>
  <c r="L66" i="9" s="1"/>
  <c r="K68" i="9"/>
  <c r="L68" i="9" s="1"/>
  <c r="O62" i="9"/>
  <c r="P62" i="9" s="1"/>
  <c r="O64" i="9"/>
  <c r="P64" i="9" s="1"/>
  <c r="O63" i="9"/>
  <c r="P63" i="9" s="1"/>
  <c r="G64" i="9"/>
  <c r="H64" i="9" s="1"/>
  <c r="G62" i="9"/>
  <c r="H62" i="9" s="1"/>
  <c r="G63" i="9"/>
  <c r="H63" i="9" s="1"/>
  <c r="K64" i="9"/>
  <c r="L64" i="9" s="1"/>
  <c r="K63" i="9"/>
  <c r="L63" i="9" s="1"/>
  <c r="K62" i="9"/>
  <c r="L62" i="9" s="1"/>
  <c r="G60" i="9"/>
  <c r="H60" i="9" s="1"/>
  <c r="G57" i="9"/>
  <c r="H57" i="9" s="1"/>
  <c r="G58" i="9"/>
  <c r="H58" i="9" s="1"/>
  <c r="G59" i="9"/>
  <c r="H59" i="9" s="1"/>
  <c r="O59" i="9"/>
  <c r="P59" i="9" s="1"/>
  <c r="O60" i="9"/>
  <c r="P60" i="9" s="1"/>
  <c r="O57" i="9"/>
  <c r="P57" i="9" s="1"/>
  <c r="O58" i="9"/>
  <c r="P58" i="9" s="1"/>
  <c r="K57" i="9"/>
  <c r="L57" i="9" s="1"/>
  <c r="K60" i="9"/>
  <c r="L60" i="9" s="1"/>
  <c r="K59" i="9"/>
  <c r="L59" i="9" s="1"/>
  <c r="K58" i="9"/>
  <c r="L58" i="9" s="1"/>
  <c r="G54" i="9"/>
  <c r="H54" i="9" s="1"/>
  <c r="G53" i="9"/>
  <c r="H53" i="9" s="1"/>
  <c r="G52" i="9"/>
  <c r="H52" i="9" s="1"/>
  <c r="G51" i="9"/>
  <c r="H51" i="9" s="1"/>
  <c r="G55" i="9"/>
  <c r="H55" i="9" s="1"/>
  <c r="O53" i="9"/>
  <c r="P53" i="9" s="1"/>
  <c r="O52" i="9"/>
  <c r="P52" i="9" s="1"/>
  <c r="O51" i="9"/>
  <c r="P51" i="9" s="1"/>
  <c r="O55" i="9"/>
  <c r="P55" i="9" s="1"/>
  <c r="O54" i="9"/>
  <c r="P54" i="9" s="1"/>
  <c r="K54" i="9"/>
  <c r="L54" i="9" s="1"/>
  <c r="K53" i="9"/>
  <c r="L53" i="9" s="1"/>
  <c r="K51" i="9"/>
  <c r="L51" i="9" s="1"/>
  <c r="K52" i="9"/>
  <c r="L52" i="9" s="1"/>
  <c r="K55" i="9"/>
  <c r="L55" i="9" s="1"/>
  <c r="G49" i="9"/>
  <c r="H49" i="9" s="1"/>
  <c r="G48" i="9"/>
  <c r="H48" i="9" s="1"/>
  <c r="O49" i="9"/>
  <c r="P49" i="9" s="1"/>
  <c r="O48" i="9"/>
  <c r="P48" i="9" s="1"/>
  <c r="K48" i="9"/>
  <c r="L48" i="9" s="1"/>
  <c r="K49" i="9"/>
  <c r="L49" i="9" s="1"/>
  <c r="O46" i="9"/>
  <c r="P46" i="9" s="1"/>
  <c r="O43" i="9"/>
  <c r="P43" i="9" s="1"/>
  <c r="O47" i="9"/>
  <c r="P47" i="9" s="1"/>
  <c r="O45" i="9"/>
  <c r="P45" i="9" s="1"/>
  <c r="O44" i="9"/>
  <c r="P44" i="9" s="1"/>
  <c r="O42" i="9"/>
  <c r="P42" i="9" s="1"/>
  <c r="G43" i="9"/>
  <c r="H43" i="9" s="1"/>
  <c r="G46" i="9"/>
  <c r="H46" i="9" s="1"/>
  <c r="G42" i="9"/>
  <c r="H42" i="9" s="1"/>
  <c r="G47" i="9"/>
  <c r="H47" i="9" s="1"/>
  <c r="G44" i="9"/>
  <c r="H44" i="9" s="1"/>
  <c r="G45" i="9"/>
  <c r="H45" i="9" s="1"/>
  <c r="K44" i="9"/>
  <c r="L44" i="9" s="1"/>
  <c r="K45" i="9"/>
  <c r="L45" i="9" s="1"/>
  <c r="K43" i="9"/>
  <c r="L43" i="9" s="1"/>
  <c r="K47" i="9"/>
  <c r="L47" i="9" s="1"/>
  <c r="K46" i="9"/>
  <c r="L46" i="9" s="1"/>
  <c r="K42" i="9"/>
  <c r="L42" i="9" s="1"/>
  <c r="G36" i="9"/>
  <c r="H36" i="9" s="1"/>
  <c r="G38" i="9"/>
  <c r="H38" i="9" s="1"/>
  <c r="G40" i="9"/>
  <c r="H40" i="9" s="1"/>
  <c r="G39" i="9"/>
  <c r="H39" i="9" s="1"/>
  <c r="O36" i="9"/>
  <c r="P36" i="9" s="1"/>
  <c r="O39" i="9"/>
  <c r="P39" i="9" s="1"/>
  <c r="O40" i="9"/>
  <c r="P40" i="9" s="1"/>
  <c r="O38" i="9"/>
  <c r="P38" i="9" s="1"/>
  <c r="K36" i="9"/>
  <c r="L36" i="9" s="1"/>
  <c r="K39" i="9"/>
  <c r="L39" i="9" s="1"/>
  <c r="K38" i="9"/>
  <c r="L38" i="9" s="1"/>
  <c r="K40" i="9"/>
  <c r="L40" i="9" s="1"/>
  <c r="O33" i="9"/>
  <c r="P33" i="9" s="1"/>
  <c r="O35" i="9"/>
  <c r="P35" i="9" s="1"/>
  <c r="O32" i="9"/>
  <c r="P32" i="9" s="1"/>
  <c r="O34" i="9"/>
  <c r="P34" i="9" s="1"/>
  <c r="O31" i="9"/>
  <c r="P31" i="9" s="1"/>
  <c r="G35" i="9"/>
  <c r="H35" i="9" s="1"/>
  <c r="G34" i="9"/>
  <c r="H34" i="9" s="1"/>
  <c r="G31" i="9"/>
  <c r="H31" i="9" s="1"/>
  <c r="G32" i="9"/>
  <c r="H32" i="9" s="1"/>
  <c r="G33" i="9"/>
  <c r="H33" i="9" s="1"/>
  <c r="K34" i="9"/>
  <c r="L34" i="9" s="1"/>
  <c r="K35" i="9"/>
  <c r="L35" i="9" s="1"/>
  <c r="K32" i="9"/>
  <c r="L32" i="9" s="1"/>
  <c r="K31" i="9"/>
  <c r="L31" i="9" s="1"/>
  <c r="K33" i="9"/>
  <c r="L33" i="9" s="1"/>
  <c r="G29" i="9"/>
  <c r="H29" i="9" s="1"/>
  <c r="G28" i="9"/>
  <c r="H28" i="9" s="1"/>
  <c r="G27" i="9"/>
  <c r="H27" i="9" s="1"/>
  <c r="G26" i="9"/>
  <c r="H26" i="9" s="1"/>
  <c r="O27" i="9"/>
  <c r="P27" i="9" s="1"/>
  <c r="O28" i="9"/>
  <c r="P28" i="9" s="1"/>
  <c r="O29" i="9"/>
  <c r="P29" i="9" s="1"/>
  <c r="O26" i="9"/>
  <c r="P26" i="9" s="1"/>
  <c r="K27" i="9"/>
  <c r="L27" i="9" s="1"/>
  <c r="K26" i="9"/>
  <c r="L26" i="9" s="1"/>
  <c r="K29" i="9"/>
  <c r="L29" i="9" s="1"/>
  <c r="K28" i="9"/>
  <c r="L28" i="9" s="1"/>
  <c r="G16" i="9"/>
  <c r="H16" i="9" s="1"/>
  <c r="G17" i="9"/>
  <c r="H17" i="9" s="1"/>
  <c r="G18" i="9"/>
  <c r="H18" i="9" s="1"/>
  <c r="G19" i="9"/>
  <c r="H19" i="9" s="1"/>
  <c r="G8" i="9"/>
  <c r="H8" i="9" s="1"/>
  <c r="G11" i="9"/>
  <c r="H11" i="9" s="1"/>
  <c r="G7" i="9"/>
  <c r="H7" i="9" s="1"/>
  <c r="G9" i="9"/>
  <c r="H9" i="9" s="1"/>
  <c r="G10" i="9"/>
  <c r="H10" i="9" s="1"/>
  <c r="G23" i="9"/>
  <c r="H23" i="9" s="1"/>
  <c r="G21" i="9"/>
  <c r="H21" i="9" s="1"/>
  <c r="G22" i="9"/>
  <c r="H22" i="9" s="1"/>
  <c r="P4" i="9"/>
  <c r="O19" i="9"/>
  <c r="P19" i="9" s="1"/>
  <c r="O8" i="9"/>
  <c r="P8" i="9" s="1"/>
  <c r="O7" i="9"/>
  <c r="P7" i="9" s="1"/>
  <c r="O9" i="9"/>
  <c r="P9" i="9" s="1"/>
  <c r="O10" i="9"/>
  <c r="P10" i="9" s="1"/>
  <c r="O11" i="9"/>
  <c r="P11" i="9" s="1"/>
  <c r="O16" i="9"/>
  <c r="P16" i="9" s="1"/>
  <c r="O17" i="9"/>
  <c r="P17" i="9" s="1"/>
  <c r="O18" i="9"/>
  <c r="P18" i="9" s="1"/>
  <c r="O22" i="9"/>
  <c r="P22" i="9" s="1"/>
  <c r="O23" i="9"/>
  <c r="P23" i="9" s="1"/>
  <c r="O21" i="9"/>
  <c r="P21" i="9" s="1"/>
  <c r="L4" i="9"/>
  <c r="K17" i="9"/>
  <c r="L17" i="9" s="1"/>
  <c r="K18" i="9"/>
  <c r="L18" i="9" s="1"/>
  <c r="K19" i="9"/>
  <c r="L19" i="9" s="1"/>
  <c r="K8" i="9"/>
  <c r="L8" i="9" s="1"/>
  <c r="K7" i="9"/>
  <c r="L7" i="9" s="1"/>
  <c r="K9" i="9"/>
  <c r="L9" i="9" s="1"/>
  <c r="K10" i="9"/>
  <c r="L10" i="9" s="1"/>
  <c r="K16" i="9"/>
  <c r="L16" i="9" s="1"/>
  <c r="K11" i="9"/>
  <c r="L11" i="9" s="1"/>
  <c r="K23" i="9"/>
  <c r="L23" i="9" s="1"/>
  <c r="K22" i="9"/>
  <c r="L22" i="9" s="1"/>
  <c r="K21" i="9"/>
  <c r="L21" i="9" s="1"/>
  <c r="V2" i="9"/>
  <c r="H4" i="9"/>
  <c r="W2" i="9"/>
  <c r="O37" i="9"/>
  <c r="O30" i="9"/>
  <c r="O50" i="9"/>
  <c r="O24" i="9"/>
  <c r="O71" i="9"/>
  <c r="O76" i="9"/>
  <c r="O20" i="9"/>
  <c r="K71" i="9"/>
  <c r="K56" i="9"/>
  <c r="O65" i="9"/>
  <c r="O83" i="9"/>
  <c r="O41" i="9"/>
  <c r="K83" i="9"/>
  <c r="O82" i="9"/>
  <c r="K30" i="9"/>
  <c r="O61" i="9"/>
  <c r="O56" i="9"/>
  <c r="K82" i="9"/>
  <c r="K50" i="9"/>
  <c r="K76" i="9"/>
  <c r="K41" i="9"/>
  <c r="K20" i="9"/>
  <c r="K24" i="9"/>
  <c r="K65" i="9"/>
  <c r="K61" i="9"/>
  <c r="K37" i="9"/>
  <c r="G82" i="9" l="1"/>
  <c r="H82" i="9" s="1"/>
  <c r="G30" i="9"/>
  <c r="H30" i="9" s="1"/>
  <c r="G83" i="9"/>
  <c r="G61" i="9"/>
  <c r="H61" i="9" s="1"/>
  <c r="G24" i="9"/>
  <c r="H24" i="9" s="1"/>
  <c r="G71" i="9"/>
  <c r="H71" i="9" s="1"/>
  <c r="U2" i="9"/>
  <c r="G41" i="9"/>
  <c r="H41" i="9" s="1"/>
  <c r="G56" i="9"/>
  <c r="H56" i="9" s="1"/>
  <c r="G50" i="9"/>
  <c r="H50" i="9" s="1"/>
  <c r="G65" i="9"/>
  <c r="H65" i="9" s="1"/>
  <c r="G76" i="9"/>
  <c r="H76" i="9" s="1"/>
  <c r="G20" i="9"/>
  <c r="G37" i="9"/>
  <c r="H3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<sst xmlns="http://schemas.openxmlformats.org/spreadsheetml/2006/main" count="865" uniqueCount="306">
  <si>
    <t>제이에스링크</t>
  </si>
  <si>
    <t>앱클론</t>
  </si>
  <si>
    <t>큐라클</t>
  </si>
  <si>
    <t>바이오</t>
    <phoneticPr fontId="16" type="noConversion"/>
  </si>
  <si>
    <t>조선</t>
    <phoneticPr fontId="16" type="noConversion"/>
  </si>
  <si>
    <t>TIGER 코리아AI전력기기TOP3플러스</t>
  </si>
  <si>
    <t>두산에너빌리티</t>
  </si>
  <si>
    <t>KODEX 코스닥150레버리지</t>
  </si>
  <si>
    <t>아이에스동서</t>
  </si>
  <si>
    <t>펩트론</t>
  </si>
  <si>
    <t>TIME 차이나AI테크액티브</t>
  </si>
  <si>
    <t>KODEX 레버리지</t>
  </si>
  <si>
    <t>KODEX 골드선물(H)</t>
  </si>
  <si>
    <t>현대엘리베이터</t>
  </si>
  <si>
    <t>이지스레지던스리츠</t>
  </si>
  <si>
    <t>기계</t>
    <phoneticPr fontId="16" type="noConversion"/>
  </si>
  <si>
    <t>금호건설</t>
  </si>
  <si>
    <t>원전</t>
    <phoneticPr fontId="16" type="noConversion"/>
  </si>
  <si>
    <t>건설</t>
    <phoneticPr fontId="16" type="noConversion"/>
  </si>
  <si>
    <t>지주</t>
    <phoneticPr fontId="16" type="noConversion"/>
  </si>
  <si>
    <t>원자재</t>
    <phoneticPr fontId="16" type="noConversion"/>
  </si>
  <si>
    <t>NO</t>
  </si>
  <si>
    <t>펀드</t>
  </si>
  <si>
    <t>펀드명</t>
  </si>
  <si>
    <t>종목</t>
  </si>
  <si>
    <t>종목명</t>
  </si>
  <si>
    <t>전일</t>
  </si>
  <si>
    <t>당일</t>
  </si>
  <si>
    <t>취득액 대비 손익(전체)
(LONG손익
+차입매도분손익)</t>
  </si>
  <si>
    <t>전일대비
종목증감비율</t>
  </si>
  <si>
    <t>보유주수</t>
  </si>
  <si>
    <t>종가</t>
  </si>
  <si>
    <t>취득액</t>
  </si>
  <si>
    <t>LONG평가금액
+차입매도분평가금액</t>
  </si>
  <si>
    <t>현재가</t>
  </si>
  <si>
    <t>1</t>
  </si>
  <si>
    <t>이지스 인컴플러스 일반사모투자신탁 제1호</t>
  </si>
  <si>
    <t>KR7476830005</t>
  </si>
  <si>
    <t>알지노믹스</t>
  </si>
  <si>
    <t>2</t>
  </si>
  <si>
    <t>3</t>
  </si>
  <si>
    <t>4</t>
  </si>
  <si>
    <t>KR70082N0008</t>
  </si>
  <si>
    <t>카나프테라퓨틱스</t>
  </si>
  <si>
    <t>5</t>
  </si>
  <si>
    <t>KR7034020008</t>
  </si>
  <si>
    <t>6</t>
  </si>
  <si>
    <t>7</t>
  </si>
  <si>
    <t>8</t>
  </si>
  <si>
    <t>9</t>
  </si>
  <si>
    <t>KR7087010005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</si>
  <si>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</si>
  <si>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</si>
  <si>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</si>
  <si>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</si>
  <si>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</si>
  <si>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</si>
  <si>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</si>
  <si>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</si>
  <si>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</si>
  <si>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</si>
  <si>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</si>
  <si>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KR7010780005</t>
  </si>
  <si>
    <t>21</t>
  </si>
  <si>
    <t>22</t>
  </si>
  <si>
    <t>23</t>
  </si>
  <si>
    <t>24</t>
  </si>
  <si>
    <t>KR7017800004</t>
  </si>
  <si>
    <t>25</t>
  </si>
  <si>
    <t>26</t>
  </si>
  <si>
    <t>KR7329180004</t>
  </si>
  <si>
    <t>HD현대중공업</t>
  </si>
  <si>
    <t>27</t>
  </si>
  <si>
    <t>KR7127120004</t>
  </si>
  <si>
    <t>28</t>
  </si>
  <si>
    <t>29</t>
  </si>
  <si>
    <t>30</t>
  </si>
  <si>
    <t>31</t>
  </si>
  <si>
    <t>32</t>
  </si>
  <si>
    <t>33</t>
  </si>
  <si>
    <t>KR7365270008</t>
  </si>
  <si>
    <t>34</t>
  </si>
  <si>
    <t>KR7174900001</t>
  </si>
  <si>
    <t>35</t>
  </si>
  <si>
    <t>300019</t>
  </si>
  <si>
    <t>이지스 인컴플러스 일반사모투자신탁 제2호</t>
  </si>
  <si>
    <t>KR7394420004</t>
  </si>
  <si>
    <t>리센스메디컬</t>
  </si>
  <si>
    <t>KR70011A0009</t>
  </si>
  <si>
    <t>액스비스</t>
  </si>
  <si>
    <t>KR7493280002</t>
  </si>
  <si>
    <t>아이엠바이오로직스</t>
  </si>
  <si>
    <t>KR70088M0003</t>
  </si>
  <si>
    <t>메쥬</t>
  </si>
  <si>
    <t>KR7122630007</t>
  </si>
  <si>
    <t>KR70043Y0003</t>
  </si>
  <si>
    <t>KR70117V0007</t>
  </si>
  <si>
    <t>37</t>
  </si>
  <si>
    <t>38</t>
  </si>
  <si>
    <t>39</t>
  </si>
  <si>
    <t>40</t>
  </si>
  <si>
    <t>41</t>
  </si>
  <si>
    <t>42</t>
  </si>
  <si>
    <t>KR7132030008</t>
  </si>
  <si>
    <t>43</t>
  </si>
  <si>
    <t>45</t>
  </si>
  <si>
    <t>KR7233740000</t>
  </si>
  <si>
    <t>300037</t>
  </si>
  <si>
    <t>이지스블루ON일반사모투자신탁제1호</t>
  </si>
  <si>
    <t>KR7002990000</t>
  </si>
  <si>
    <t>KR7350520003</t>
  </si>
  <si>
    <t>300085</t>
  </si>
  <si>
    <t>이지스블루ON일반사모투자신탁제3호</t>
  </si>
  <si>
    <t>KR7469830004</t>
  </si>
  <si>
    <t>SOL 초단기채권액티브</t>
  </si>
  <si>
    <t>No</t>
  </si>
  <si>
    <t>Model Portfolio</t>
    <phoneticPr fontId="16" type="noConversion"/>
  </si>
  <si>
    <t>바이오</t>
  </si>
  <si>
    <t>조선</t>
  </si>
  <si>
    <t>지주</t>
  </si>
  <si>
    <t>금</t>
  </si>
  <si>
    <t>원자재</t>
  </si>
  <si>
    <t>한국</t>
  </si>
  <si>
    <t>리츠</t>
  </si>
  <si>
    <t>총 합계</t>
  </si>
  <si>
    <t>처리일</t>
  </si>
  <si>
    <t>펀드코드</t>
  </si>
  <si>
    <t>펀드유형</t>
  </si>
  <si>
    <t>기준가</t>
  </si>
  <si>
    <t>기준가증감</t>
  </si>
  <si>
    <t>원본액</t>
  </si>
  <si>
    <t>원본액증감</t>
  </si>
  <si>
    <t>순자산(전)</t>
  </si>
  <si>
    <t>순자산(후)</t>
  </si>
  <si>
    <t>순자산증감</t>
  </si>
  <si>
    <t>총자산액</t>
  </si>
  <si>
    <t>국내자산</t>
  </si>
  <si>
    <t>주식</t>
  </si>
  <si>
    <t>채권</t>
  </si>
  <si>
    <t>CD/CP</t>
  </si>
  <si>
    <t>현금</t>
  </si>
  <si>
    <t>수익증권</t>
  </si>
  <si>
    <t>장내선물옵션</t>
  </si>
  <si>
    <t>기타파생</t>
  </si>
  <si>
    <t>기타자산</t>
  </si>
  <si>
    <t>해외자산</t>
  </si>
  <si>
    <t>해외주식</t>
  </si>
  <si>
    <t>해외채권</t>
  </si>
  <si>
    <t>해외현금</t>
  </si>
  <si>
    <t>해외수익증권</t>
  </si>
  <si>
    <t>해외파생</t>
  </si>
  <si>
    <t>해외기타</t>
  </si>
  <si>
    <t>주식+선물</t>
  </si>
  <si>
    <t>주식
약관비상한</t>
  </si>
  <si>
    <t>채권+선물</t>
  </si>
  <si>
    <t>채권
약관비상한</t>
  </si>
  <si>
    <t>수익자</t>
  </si>
  <si>
    <t>평가액</t>
  </si>
  <si>
    <t>편입비</t>
  </si>
  <si>
    <t>혼합채권형</t>
  </si>
  <si>
    <t/>
  </si>
  <si>
    <t>혼합자산</t>
  </si>
  <si>
    <t>이지스멀티드래곤일반사모투자신탁제2호</t>
  </si>
  <si>
    <t>이지스블랙ON일반사모투자신탁제1호</t>
  </si>
  <si>
    <t>이지스블루ON일반사모투자신탁제2호</t>
  </si>
  <si>
    <t>주식형</t>
  </si>
  <si>
    <t>재간접형</t>
  </si>
  <si>
    <t>현재가</t>
    <phoneticPr fontId="16" type="noConversion"/>
  </si>
  <si>
    <t>누락 종목 필터링</t>
    <phoneticPr fontId="16" type="noConversion"/>
  </si>
  <si>
    <t>취득액 대비
손익비율
(전체)</t>
  </si>
  <si>
    <t>체결기준
보유주수</t>
  </si>
  <si>
    <t>소부장</t>
    <phoneticPr fontId="16" type="noConversion"/>
  </si>
  <si>
    <t>산업재</t>
    <phoneticPr fontId="16" type="noConversion"/>
  </si>
  <si>
    <t>금융</t>
    <phoneticPr fontId="16" type="noConversion"/>
  </si>
  <si>
    <t>운송</t>
    <phoneticPr fontId="16" type="noConversion"/>
  </si>
  <si>
    <t>소비재</t>
    <phoneticPr fontId="16" type="noConversion"/>
  </si>
  <si>
    <t>지수</t>
    <phoneticPr fontId="16" type="noConversion"/>
  </si>
  <si>
    <t>기계/에너지</t>
    <phoneticPr fontId="16" type="noConversion"/>
  </si>
  <si>
    <t>방산/우주/로봇</t>
    <phoneticPr fontId="16" type="noConversion"/>
  </si>
  <si>
    <t>블루1 주식수</t>
  </si>
  <si>
    <t>인컴2 주식수</t>
  </si>
  <si>
    <t>종목</t>
    <phoneticPr fontId="16" type="noConversion"/>
  </si>
  <si>
    <t>비중</t>
    <phoneticPr fontId="16" type="noConversion"/>
  </si>
  <si>
    <t>주식수 계산기</t>
    <phoneticPr fontId="16" type="noConversion"/>
  </si>
  <si>
    <t>&gt; key in</t>
    <phoneticPr fontId="16" type="noConversion"/>
  </si>
  <si>
    <t>블루3 주식수</t>
    <phoneticPr fontId="16" type="noConversion"/>
  </si>
  <si>
    <t>KODEX WTI원유선물인버스(H)</t>
  </si>
  <si>
    <t>&gt; 현재가 함수</t>
    <phoneticPr fontId="16" type="noConversion"/>
  </si>
  <si>
    <t>KR70168K0008</t>
  </si>
  <si>
    <t>TIGER 기술이전바이오액티브</t>
  </si>
  <si>
    <t>KR7271050007</t>
  </si>
  <si>
    <t>300080</t>
  </si>
  <si>
    <t>&lt;파란글자만 key in&gt;</t>
    <phoneticPr fontId="16" type="noConversion"/>
  </si>
  <si>
    <t>300001</t>
  </si>
  <si>
    <t>300039</t>
  </si>
  <si>
    <t>300061</t>
  </si>
  <si>
    <t>KR7466930005</t>
  </si>
  <si>
    <t>SOL 자동차TOP3플러스</t>
  </si>
  <si>
    <t>헬스케어</t>
    <phoneticPr fontId="16" type="noConversion"/>
  </si>
  <si>
    <t>KR7439960006</t>
  </si>
  <si>
    <t>코스모로보틱스</t>
  </si>
  <si>
    <t>KR7487580003</t>
  </si>
  <si>
    <t>폴레드</t>
  </si>
  <si>
    <t>미용</t>
    <phoneticPr fontId="16" type="noConversion"/>
  </si>
  <si>
    <t>기타</t>
    <phoneticPr fontId="16" type="noConversion"/>
  </si>
  <si>
    <t>KR7367760006</t>
  </si>
  <si>
    <t>RISE 네트워크인프라</t>
  </si>
  <si>
    <t>KR70148J0006</t>
  </si>
  <si>
    <t>TIGER 코리아휴머노이드로봇산업</t>
  </si>
  <si>
    <t>KR7457990000</t>
  </si>
  <si>
    <t>PLUS 태양광&amp;ESS</t>
  </si>
  <si>
    <t>신재생</t>
    <phoneticPr fontId="16" type="noConversion"/>
  </si>
  <si>
    <t>반도체</t>
    <phoneticPr fontId="16" type="noConversion"/>
  </si>
  <si>
    <t>로봇</t>
    <phoneticPr fontId="16" type="noConversion"/>
  </si>
  <si>
    <t>전력기기</t>
    <phoneticPr fontId="16" type="noConversion"/>
  </si>
  <si>
    <r>
      <t xml:space="preserve">RISE </t>
    </r>
    <r>
      <rPr>
        <sz val="9"/>
        <color theme="4"/>
        <rFont val="맑은 고딕"/>
        <family val="3"/>
        <charset val="129"/>
      </rPr>
      <t>네트워크인프라</t>
    </r>
  </si>
  <si>
    <r>
      <t xml:space="preserve">TIME </t>
    </r>
    <r>
      <rPr>
        <sz val="9"/>
        <color theme="4"/>
        <rFont val="맑은 고딕"/>
        <family val="3"/>
        <charset val="129"/>
      </rPr>
      <t>차이나</t>
    </r>
    <r>
      <rPr>
        <sz val="9"/>
        <color theme="4"/>
        <rFont val="Arial"/>
        <family val="2"/>
      </rPr>
      <t>AI</t>
    </r>
    <r>
      <rPr>
        <sz val="9"/>
        <color theme="4"/>
        <rFont val="맑은 고딕"/>
        <family val="3"/>
        <charset val="129"/>
      </rPr>
      <t>테크액티브</t>
    </r>
  </si>
  <si>
    <r>
      <rPr>
        <sz val="9"/>
        <color theme="4"/>
        <rFont val="맑은 고딕"/>
        <family val="3"/>
        <charset val="129"/>
      </rPr>
      <t>큐라클</t>
    </r>
  </si>
  <si>
    <r>
      <t xml:space="preserve">TIGER </t>
    </r>
    <r>
      <rPr>
        <sz val="9"/>
        <color theme="4"/>
        <rFont val="맑은 고딕"/>
        <family val="3"/>
        <charset val="129"/>
      </rPr>
      <t>기술이전바이오액티브</t>
    </r>
  </si>
  <si>
    <r>
      <t xml:space="preserve">TIGER </t>
    </r>
    <r>
      <rPr>
        <sz val="9"/>
        <color theme="4"/>
        <rFont val="맑은 고딕"/>
        <family val="3"/>
        <charset val="129"/>
      </rPr>
      <t>코리아휴머노이드로봇산업</t>
    </r>
  </si>
  <si>
    <r>
      <t>HD</t>
    </r>
    <r>
      <rPr>
        <sz val="9"/>
        <color theme="4"/>
        <rFont val="맑은 고딕"/>
        <family val="3"/>
        <charset val="129"/>
      </rPr>
      <t>현대중공업</t>
    </r>
  </si>
  <si>
    <r>
      <t>STX</t>
    </r>
    <r>
      <rPr>
        <sz val="9"/>
        <color theme="4"/>
        <rFont val="맑은 고딕"/>
        <family val="3"/>
        <charset val="129"/>
      </rPr>
      <t>엔진</t>
    </r>
  </si>
  <si>
    <r>
      <rPr>
        <sz val="9"/>
        <color theme="4"/>
        <rFont val="맑은 고딕"/>
        <family val="3"/>
        <charset val="129"/>
      </rPr>
      <t>두산에너빌리티</t>
    </r>
    <phoneticPr fontId="16" type="noConversion"/>
  </si>
  <si>
    <r>
      <t xml:space="preserve">TIGER </t>
    </r>
    <r>
      <rPr>
        <sz val="9"/>
        <color theme="4"/>
        <rFont val="맑은 고딕"/>
        <family val="3"/>
        <charset val="129"/>
      </rPr>
      <t>코리아</t>
    </r>
    <r>
      <rPr>
        <sz val="9"/>
        <color theme="4"/>
        <rFont val="Arial"/>
        <family val="2"/>
      </rPr>
      <t>AI</t>
    </r>
    <r>
      <rPr>
        <sz val="9"/>
        <color theme="4"/>
        <rFont val="맑은 고딕"/>
        <family val="3"/>
        <charset val="129"/>
      </rPr>
      <t>전력기기</t>
    </r>
    <r>
      <rPr>
        <sz val="9"/>
        <color theme="4"/>
        <rFont val="Arial"/>
        <family val="2"/>
      </rPr>
      <t>TOP3</t>
    </r>
    <r>
      <rPr>
        <sz val="9"/>
        <color theme="4"/>
        <rFont val="맑은 고딕"/>
        <family val="3"/>
        <charset val="129"/>
      </rPr>
      <t>플러스</t>
    </r>
  </si>
  <si>
    <r>
      <t xml:space="preserve">SOL </t>
    </r>
    <r>
      <rPr>
        <sz val="9"/>
        <color theme="4"/>
        <rFont val="맑은 고딕"/>
        <family val="3"/>
        <charset val="129"/>
      </rPr>
      <t>자동차</t>
    </r>
    <r>
      <rPr>
        <sz val="9"/>
        <color theme="4"/>
        <rFont val="Arial"/>
        <family val="2"/>
      </rPr>
      <t>TOP3</t>
    </r>
    <r>
      <rPr>
        <sz val="9"/>
        <color theme="4"/>
        <rFont val="맑은 고딕"/>
        <family val="3"/>
        <charset val="129"/>
      </rPr>
      <t>플러스</t>
    </r>
  </si>
  <si>
    <r>
      <rPr>
        <sz val="9"/>
        <color theme="4"/>
        <rFont val="맑은 고딕"/>
        <family val="3"/>
        <charset val="129"/>
      </rPr>
      <t>아이에스동서</t>
    </r>
    <phoneticPr fontId="16" type="noConversion"/>
  </si>
  <si>
    <r>
      <t xml:space="preserve">PLUS </t>
    </r>
    <r>
      <rPr>
        <sz val="9"/>
        <color theme="4"/>
        <rFont val="맑은 고딕"/>
        <family val="3"/>
        <charset val="129"/>
      </rPr>
      <t>태양광</t>
    </r>
    <r>
      <rPr>
        <sz val="9"/>
        <color theme="4"/>
        <rFont val="Arial"/>
        <family val="2"/>
      </rPr>
      <t>&amp;ESS</t>
    </r>
  </si>
  <si>
    <r>
      <t xml:space="preserve">KODEX </t>
    </r>
    <r>
      <rPr>
        <sz val="9"/>
        <color theme="4"/>
        <rFont val="맑은 고딕"/>
        <family val="3"/>
        <charset val="129"/>
      </rPr>
      <t>골드선물</t>
    </r>
    <r>
      <rPr>
        <sz val="9"/>
        <color theme="4"/>
        <rFont val="Arial"/>
        <family val="2"/>
      </rPr>
      <t>(H)</t>
    </r>
  </si>
  <si>
    <r>
      <rPr>
        <sz val="9"/>
        <color theme="4"/>
        <rFont val="맑은 고딕"/>
        <family val="3"/>
        <charset val="129"/>
      </rPr>
      <t>제이에스링크</t>
    </r>
  </si>
  <si>
    <r>
      <t>KODEX WTI</t>
    </r>
    <r>
      <rPr>
        <sz val="9"/>
        <color rgb="FF156082"/>
        <rFont val="맑은 고딕"/>
        <family val="3"/>
        <charset val="129"/>
      </rPr>
      <t>원유선물인버스</t>
    </r>
    <r>
      <rPr>
        <sz val="9"/>
        <color rgb="FF156082"/>
        <rFont val="Arial"/>
        <family val="2"/>
      </rPr>
      <t>(H)</t>
    </r>
  </si>
  <si>
    <r>
      <t xml:space="preserve">KODEX </t>
    </r>
    <r>
      <rPr>
        <sz val="9"/>
        <color theme="4"/>
        <rFont val="맑은 고딕"/>
        <family val="3"/>
        <charset val="129"/>
      </rPr>
      <t>레버리지</t>
    </r>
  </si>
  <si>
    <r>
      <t xml:space="preserve">KODEX </t>
    </r>
    <r>
      <rPr>
        <sz val="9"/>
        <color theme="4"/>
        <rFont val="맑은 고딕"/>
        <family val="3"/>
        <charset val="129"/>
      </rPr>
      <t>코스닥</t>
    </r>
    <r>
      <rPr>
        <sz val="9"/>
        <color theme="4"/>
        <rFont val="Arial"/>
        <family val="2"/>
      </rPr>
      <t>150</t>
    </r>
    <r>
      <rPr>
        <sz val="9"/>
        <color theme="4"/>
        <rFont val="맑은 고딕"/>
        <family val="3"/>
        <charset val="129"/>
      </rPr>
      <t>레버리지</t>
    </r>
  </si>
  <si>
    <r>
      <rPr>
        <sz val="9"/>
        <color theme="4"/>
        <rFont val="맑은 고딕"/>
        <family val="3"/>
        <charset val="129"/>
      </rPr>
      <t>이지스레지던스리츠</t>
    </r>
  </si>
  <si>
    <r>
      <rPr>
        <sz val="9"/>
        <color theme="4"/>
        <rFont val="맑은 고딕"/>
        <family val="3"/>
        <charset val="129"/>
      </rPr>
      <t>금호건설</t>
    </r>
  </si>
  <si>
    <t>원유</t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</si>
  <si>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테크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</si>
  <si>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금융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</si>
  <si>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헬스케어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</si>
  <si>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방산/우주/로봇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</si>
  <si>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조선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</si>
  <si>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기계/에너지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</si>
  <si>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t>산업재 소계</t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</si>
  <si>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소비재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</si>
  <si>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</rPr>
      <t>지주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</si>
  <si>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  <scheme val="minor"/>
      </rPr>
      <t>원자재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</si>
  <si>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</rPr>
      <t>지수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16" type="noConversion"/>
  </si>
  <si>
    <r>
      <rPr>
        <b/>
        <sz val="10"/>
        <color theme="1"/>
        <rFont val="맑은 고딕"/>
        <family val="3"/>
        <charset val="129"/>
      </rPr>
      <t>기타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16" type="noConversion"/>
  </si>
  <si>
    <t>주식 가능금액 (현금포함)</t>
    <phoneticPr fontId="16" type="noConversion"/>
  </si>
  <si>
    <r>
      <rPr>
        <b/>
        <sz val="11"/>
        <rFont val="맑은 고딕"/>
        <family val="3"/>
        <charset val="129"/>
      </rPr>
      <t>인컴</t>
    </r>
    <r>
      <rPr>
        <sz val="11"/>
        <rFont val="Arial"/>
        <family val="2"/>
      </rPr>
      <t>2</t>
    </r>
    <phoneticPr fontId="16" type="noConversion"/>
  </si>
  <si>
    <r>
      <rPr>
        <b/>
        <sz val="10"/>
        <rFont val="맑은 고딕"/>
        <family val="3"/>
        <charset val="129"/>
      </rPr>
      <t>섹터</t>
    </r>
  </si>
  <si>
    <r>
      <rPr>
        <b/>
        <sz val="10"/>
        <rFont val="맑은 고딕"/>
        <family val="3"/>
        <charset val="129"/>
      </rPr>
      <t>세부</t>
    </r>
  </si>
  <si>
    <r>
      <rPr>
        <b/>
        <sz val="10"/>
        <rFont val="맑은 고딕"/>
        <family val="3"/>
        <charset val="129"/>
      </rPr>
      <t>종목명</t>
    </r>
  </si>
  <si>
    <r>
      <rPr>
        <b/>
        <sz val="10"/>
        <rFont val="맑은 고딕"/>
        <family val="3"/>
        <charset val="129"/>
      </rPr>
      <t>목표</t>
    </r>
  </si>
  <si>
    <r>
      <rPr>
        <b/>
        <sz val="10"/>
        <rFont val="맑은 고딕"/>
        <family val="3"/>
        <charset val="129"/>
      </rPr>
      <t>현재가</t>
    </r>
    <phoneticPr fontId="16" type="noConversion"/>
  </si>
  <si>
    <r>
      <rPr>
        <b/>
        <sz val="10"/>
        <rFont val="맑은 고딕"/>
        <family val="3"/>
        <charset val="129"/>
      </rPr>
      <t>평가금액</t>
    </r>
  </si>
  <si>
    <r>
      <rPr>
        <b/>
        <sz val="10"/>
        <rFont val="맑은 고딕"/>
        <family val="3"/>
        <charset val="129"/>
      </rPr>
      <t>비중</t>
    </r>
  </si>
  <si>
    <r>
      <rPr>
        <b/>
        <sz val="11"/>
        <rFont val="맑은 고딕"/>
        <family val="3"/>
        <charset val="129"/>
      </rPr>
      <t>블루</t>
    </r>
    <r>
      <rPr>
        <sz val="11"/>
        <rFont val="Arial"/>
        <family val="2"/>
      </rPr>
      <t>1</t>
    </r>
  </si>
  <si>
    <r>
      <rPr>
        <b/>
        <sz val="11"/>
        <rFont val="맑은 고딕"/>
        <family val="3"/>
        <charset val="129"/>
      </rPr>
      <t>블루</t>
    </r>
    <r>
      <rPr>
        <sz val="11"/>
        <rFont val="Arial"/>
        <family val="2"/>
      </rPr>
      <t>3</t>
    </r>
  </si>
  <si>
    <r>
      <rPr>
        <b/>
        <sz val="10"/>
        <rFont val="맑은 고딕"/>
        <family val="3"/>
        <charset val="129"/>
      </rPr>
      <t>목표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차이</t>
    </r>
    <phoneticPr fontId="16" type="noConversion"/>
  </si>
  <si>
    <t>수익률</t>
    <phoneticPr fontId="16" type="noConversion"/>
  </si>
  <si>
    <r>
      <rPr>
        <b/>
        <sz val="10"/>
        <rFont val="맑은 고딕"/>
        <family val="3"/>
        <charset val="129"/>
      </rPr>
      <t>종목명</t>
    </r>
    <r>
      <rPr>
        <b/>
        <sz val="10"/>
        <rFont val="Arial"/>
        <family val="2"/>
      </rPr>
      <t>(</t>
    </r>
    <r>
      <rPr>
        <b/>
        <sz val="10"/>
        <rFont val="맑은 고딕"/>
        <family val="3"/>
        <charset val="129"/>
      </rPr>
      <t>원본</t>
    </r>
    <r>
      <rPr>
        <b/>
        <sz val="10"/>
        <rFont val="Arial"/>
        <family val="2"/>
      </rPr>
      <t xml:space="preserve">)
&gt; </t>
    </r>
    <r>
      <rPr>
        <b/>
        <sz val="10"/>
        <rFont val="맑은 고딕"/>
        <family val="3"/>
        <charset val="129"/>
      </rPr>
      <t>종목명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채우면
자동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매핑</t>
    </r>
    <phoneticPr fontId="16" type="noConversion"/>
  </si>
  <si>
    <t>채권 비중</t>
    <phoneticPr fontId="16" type="noConversion"/>
  </si>
  <si>
    <t>전체 AUM (NAV)</t>
    <phoneticPr fontId="16" type="noConversion"/>
  </si>
  <si>
    <t>현금 비중</t>
    <phoneticPr fontId="16" type="noConversion"/>
  </si>
  <si>
    <t>전일 대비 손익</t>
  </si>
  <si>
    <t>KR7003550001</t>
  </si>
  <si>
    <t>LG</t>
  </si>
  <si>
    <t>KR7160980009</t>
  </si>
  <si>
    <t>싸이맥스</t>
  </si>
  <si>
    <t>KR7009420001</t>
  </si>
  <si>
    <t>한올바이오파마</t>
  </si>
  <si>
    <t>KR7445090004</t>
  </si>
  <si>
    <t>에이직랜드</t>
  </si>
  <si>
    <t>KR7000990002</t>
  </si>
  <si>
    <t>DB하이텍</t>
  </si>
  <si>
    <t>KR7035420009</t>
  </si>
  <si>
    <t>NAVER</t>
  </si>
  <si>
    <t>48</t>
  </si>
  <si>
    <t>KRG0134X0007</t>
  </si>
  <si>
    <t>대신밸런스제20호기업인수목적공모주(보)</t>
  </si>
  <si>
    <t>주문기준
보유주수 ▲</t>
  </si>
  <si>
    <t>KR7353200009</t>
  </si>
  <si>
    <t>대덕전자</t>
  </si>
  <si>
    <t>KR70102A0009</t>
  </si>
  <si>
    <t>TIGER 미국AI소프트웨어TOP4Plus</t>
  </si>
  <si>
    <t>주문기준
보유주수 ▼</t>
  </si>
  <si>
    <t>KRG0117P0008</t>
  </si>
  <si>
    <t>피스피스스튜디오공모주(보)</t>
  </si>
  <si>
    <t>대덕전자</t>
    <phoneticPr fontId="16" type="noConversion"/>
  </si>
  <si>
    <t>IT</t>
    <phoneticPr fontId="16" type="noConversion"/>
  </si>
  <si>
    <t>SW</t>
    <phoneticPr fontId="16" type="noConversion"/>
  </si>
  <si>
    <t>SW_미국</t>
    <phoneticPr fontId="16" type="noConversion"/>
  </si>
  <si>
    <t>테크_중국</t>
    <phoneticPr fontId="16" type="noConversion"/>
  </si>
  <si>
    <t>현금 목표금액 (Risk off 시 20%)</t>
    <phoneticPr fontId="16" type="noConversion"/>
  </si>
  <si>
    <t>KR7140700006</t>
  </si>
  <si>
    <t>KODEX 보험</t>
  </si>
  <si>
    <t>KR7000150003</t>
  </si>
  <si>
    <t>두산</t>
  </si>
  <si>
    <t>KR7261140008</t>
  </si>
  <si>
    <t>TIGER 우선주</t>
  </si>
  <si>
    <t>KRA3272601G9</t>
  </si>
  <si>
    <t>알에프머트리얼즈 14R</t>
  </si>
  <si>
    <t>50</t>
  </si>
  <si>
    <t>보험</t>
    <phoneticPr fontId="16" type="noConversion"/>
  </si>
  <si>
    <t>앱클론</t>
    <phoneticPr fontId="16" type="noConversion"/>
  </si>
  <si>
    <t>우선주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</si>
</sst>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##0.#0"/>
    <numFmt numFmtId="178" formatCode="0.0%"/>
    <numFmt numFmtId="179" formatCode="0.0%;[Red]\-0.0%;\-"/>
    <numFmt numFmtId="180" formatCode="#,##0_);[Red]\(#,##0\);\-"/>
    <numFmt numFmtId="181" formatCode="#,##0.00&quot;억&quot;;\(#,##0.00&quot;억&quot;\);\-"/>
    <numFmt numFmtId="182" formatCode="yyyy\-mm\-dd"/>
    <numFmt numFmtId="183" formatCode="#,##0.00_ "/>
    <numFmt numFmtId="184" formatCode="#,##0.000000_ "/>
    <numFmt numFmtId="185" formatCode="#,##0.0_ "/>
    <numFmt numFmtId="186" formatCode="#,##0.0%;[Red]\-#,##0.0%"/>
    <numFmt numFmtId="187" formatCode="#,##0.0&quot;억&quot;;\(#,##0.0&quot;억&quot;\);\-"/>
  </numFmts>
  <fonts count="99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10"/>
      <name val="Arial"/>
      <family val="2"/>
    </font>
    <font>
      <b/>
      <sz val="14"/>
      <color theme="1"/>
      <name val="맑은 고딕"/>
      <family val="3"/>
      <charset val="129"/>
      <scheme val="minor"/>
    </font>
    <font>
      <sz val="9"/>
      <name val="Arial"/>
      <family val="2"/>
    </font>
    <font>
      <sz val="9"/>
      <name val="Noto Sans CJK SC"/>
      <family val="2"/>
    </font>
    <font>
      <sz val="10"/>
      <color theme="1"/>
      <name val="맑은 고딕"/>
      <family val="2"/>
      <charset val="129"/>
      <scheme val="minor"/>
    </font>
    <font>
      <sz val="9"/>
      <color rgb="FF405778"/>
      <name val="Dotumche"/>
      <family val="3"/>
    </font>
    <font>
      <sz val="9"/>
      <color rgb="FF000000"/>
      <name val="Dotumche"/>
      <family val="3"/>
    </font>
    <font>
      <b/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1F4E78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Arial"/>
      <family val="3"/>
      <charset val="129"/>
    </font>
    <font>
      <b/>
      <sz val="10"/>
      <name val="맑은 고딕"/>
      <family val="2"/>
      <charset val="129"/>
    </font>
    <font>
      <b/>
      <sz val="11"/>
      <color rgb="FFFFFFFF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i/>
      <sz val="10"/>
      <color rgb="FF606060"/>
      <name val="맑은 고딕"/>
      <family val="2"/>
      <charset val="129"/>
      <scheme val="minor"/>
    </font>
    <font>
      <b/>
      <i/>
      <sz val="10"/>
      <color rgb="FF606060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theme="4"/>
      <name val="맑은 고딕"/>
      <family val="2"/>
      <charset val="129"/>
      <scheme val="minor"/>
    </font>
    <font>
      <b/>
      <sz val="10"/>
      <color theme="4"/>
      <name val="Arial"/>
      <family val="2"/>
    </font>
    <font>
      <b/>
      <sz val="10"/>
      <color theme="4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0"/>
      <color rgb="FF595959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3" tint="0.249977111117893"/>
      <name val="Arial"/>
      <family val="2"/>
    </font>
    <font>
      <sz val="10"/>
      <color theme="3" tint="0.249977111117893"/>
      <name val="맑은 고딕"/>
      <family val="2"/>
      <charset val="129"/>
      <scheme val="minor"/>
    </font>
    <font>
      <b/>
      <sz val="10"/>
      <color theme="3" tint="0.249977111117893"/>
      <name val="맑은 고딕"/>
      <family val="2"/>
      <charset val="129"/>
      <scheme val="minor"/>
    </font>
    <font>
      <b/>
      <sz val="11"/>
      <color theme="3" tint="0.249977111117893"/>
      <name val="맑은 고딕"/>
      <family val="2"/>
      <charset val="129"/>
      <scheme val="minor"/>
    </font>
    <font>
      <b/>
      <i/>
      <sz val="10"/>
      <color rgb="FF606060"/>
      <name val="맑은 고딕"/>
      <family val="3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9"/>
      <color theme="4"/>
      <name val="Arial"/>
      <family val="2"/>
    </font>
    <font>
      <sz val="9"/>
      <color theme="4"/>
      <name val="맑은 고딕"/>
      <family val="3"/>
      <charset val="129"/>
    </font>
    <font>
      <sz val="9"/>
      <color rgb="FF156082"/>
      <name val="Arial"/>
      <family val="2"/>
    </font>
    <font>
      <sz val="9"/>
      <color rgb="FF156082"/>
      <name val="맑은 고딕"/>
      <family val="3"/>
      <charset val="129"/>
    </font>
    <font>
      <sz val="9"/>
      <color rgb="FFFFFFFF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9"/>
      <color theme="4"/>
      <name val="맑은 고딕"/>
      <family val="2"/>
      <charset val="129"/>
    </font>
    <font>
      <b/>
      <sz val="9"/>
      <color rgb="FF000000"/>
      <name val="Dotum"/>
      <family val="3"/>
    </font>
    <font>
      <sz val="9"/>
      <color rgb="FFFFFFFF"/>
      <name val="Dotum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F1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/>
      <top/>
      <bottom style="hair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rgb="FFD9D9D9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rgb="FFD9D9D9"/>
      </top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hair">
        <color rgb="FFD9D9D9"/>
      </top>
      <bottom/>
      <diagonal/>
    </border>
    <border>
      <left/>
      <right style="thin">
        <color indexed="64"/>
      </right>
      <top style="hair">
        <color rgb="FFD9D9D9"/>
      </top>
      <bottom/>
      <diagonal/>
    </border>
    <border>
      <left style="thin">
        <color indexed="64"/>
      </left>
      <right/>
      <top style="thin">
        <color rgb="FF808080"/>
      </top>
      <bottom style="thin">
        <color indexed="64"/>
      </bottom>
      <diagonal/>
    </border>
    <border>
      <left/>
      <right/>
      <top style="thin">
        <color rgb="FF80808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80808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medium">
        <color indexed="64"/>
      </left>
      <right style="medium">
        <color indexed="64"/>
      </right>
      <top style="thin">
        <color rgb="FF80808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rgb="FFD9D9D9"/>
      </bottom>
      <diagonal/>
    </border>
    <border>
      <left style="medium">
        <color indexed="64"/>
      </left>
      <right/>
      <top style="hair">
        <color rgb="FFD9D9D9"/>
      </top>
      <bottom/>
      <diagonal/>
    </border>
    <border>
      <left style="medium">
        <color indexed="64"/>
      </left>
      <right/>
      <top style="thin">
        <color rgb="FF80808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80808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80808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28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7" borderId="8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8" borderId="9" applyNumberFormat="0" applyFont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8" borderId="9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8" borderId="9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9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8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8" borderId="9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40" fillId="8" borderId="9" applyNumberFormat="0" applyFont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4" fillId="5" borderId="5" applyNumberFormat="0" applyAlignment="0" applyProtection="0">
      <alignment vertical="center"/>
    </xf>
    <xf numFmtId="0" fontId="75" fillId="6" borderId="6" applyNumberFormat="0" applyAlignment="0" applyProtection="0">
      <alignment vertical="center"/>
    </xf>
    <xf numFmtId="0" fontId="76" fillId="6" borderId="5" applyNumberFormat="0" applyAlignment="0" applyProtection="0">
      <alignment vertical="center"/>
    </xf>
    <xf numFmtId="0" fontId="77" fillId="0" borderId="7" applyNumberFormat="0" applyFill="0" applyAlignment="0" applyProtection="0">
      <alignment vertical="center"/>
    </xf>
    <xf numFmtId="0" fontId="78" fillId="7" borderId="8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8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8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43" applyFont="1">
      <alignment vertical="center"/>
    </xf>
    <xf numFmtId="0" fontId="37" fillId="36" borderId="0" xfId="0" applyFont="1" applyFill="1" applyAlignment="1">
      <alignment horizontal="center" vertical="center"/>
    </xf>
    <xf numFmtId="0" fontId="45" fillId="36" borderId="0" xfId="0" applyFont="1" applyFill="1">
      <alignment vertical="center"/>
    </xf>
    <xf numFmtId="0" fontId="46" fillId="36" borderId="0" xfId="0" applyFont="1" applyFill="1" applyAlignment="1">
      <alignment horizontal="left" vertical="center"/>
    </xf>
    <xf numFmtId="9" fontId="55" fillId="43" borderId="0" xfId="0" applyNumberFormat="1" applyFont="1" applyFill="1" applyAlignment="1">
      <alignment horizontal="center" vertical="center"/>
    </xf>
    <xf numFmtId="41" fontId="53" fillId="0" borderId="51" xfId="43" applyFont="1" applyBorder="1">
      <alignment vertical="center"/>
    </xf>
    <xf numFmtId="41" fontId="54" fillId="42" borderId="52" xfId="43" applyFont="1" applyFill="1" applyBorder="1">
      <alignment vertical="center"/>
    </xf>
    <xf numFmtId="41" fontId="47" fillId="42" borderId="53" xfId="43" applyFont="1" applyFill="1" applyBorder="1">
      <alignment vertical="center"/>
    </xf>
    <xf numFmtId="41" fontId="50" fillId="41" borderId="54" xfId="43" applyFont="1" applyFill="1" applyBorder="1">
      <alignment vertical="center"/>
    </xf>
    <xf numFmtId="0" fontId="58" fillId="36" borderId="21" xfId="0" applyFont="1" applyFill="1" applyBorder="1" applyAlignment="1"/>
    <xf numFmtId="179" fontId="51" fillId="41" borderId="39" xfId="0" applyNumberFormat="1" applyFont="1" applyFill="1" applyBorder="1" applyAlignment="1">
      <alignment horizontal="center" vertical="center"/>
    </xf>
    <xf numFmtId="180" fontId="51" fillId="41" borderId="39" xfId="0" applyNumberFormat="1" applyFont="1" applyFill="1" applyBorder="1" applyAlignment="1">
      <alignment horizontal="center" vertical="center"/>
    </xf>
    <xf numFmtId="180" fontId="51" fillId="41" borderId="39" xfId="43" applyNumberFormat="1" applyFont="1" applyFill="1" applyBorder="1" applyAlignment="1">
      <alignment horizontal="center" vertical="center"/>
    </xf>
    <xf numFmtId="41" fontId="45" fillId="36" borderId="0" xfId="43" applyFont="1" applyFill="1" applyAlignment="1">
      <alignment horizontal="center" vertical="center"/>
    </xf>
    <xf numFmtId="41" fontId="45" fillId="36" borderId="0" xfId="43" applyFont="1" applyFill="1" applyAlignment="1">
      <alignment horizontal="center" vertical="center" wrapText="1"/>
    </xf>
    <xf numFmtId="0" fontId="45" fillId="36" borderId="0" xfId="0" applyFont="1" applyFill="1" applyAlignment="1">
      <alignment horizontal="center" vertical="center"/>
    </xf>
    <xf numFmtId="0" fontId="45" fillId="36" borderId="0" xfId="0" applyFont="1" applyFill="1" applyAlignment="1">
      <alignment horizontal="center" vertical="center" wrapText="1"/>
    </xf>
    <xf numFmtId="0" fontId="59" fillId="36" borderId="0" xfId="0" applyFont="1" applyFill="1" applyAlignment="1"/>
    <xf numFmtId="0" fontId="47" fillId="0" borderId="0" xfId="0" applyFont="1">
      <alignment vertical="center"/>
    </xf>
    <xf numFmtId="0" fontId="39" fillId="36" borderId="21" xfId="0" applyFont="1" applyFill="1" applyBorder="1">
      <alignment vertical="center"/>
    </xf>
    <xf numFmtId="0" fontId="0" fillId="36" borderId="21" xfId="0" applyFill="1" applyBorder="1">
      <alignment vertical="center"/>
    </xf>
    <xf numFmtId="0" fontId="0" fillId="36" borderId="17" xfId="0" applyFill="1" applyBorder="1">
      <alignment vertical="center"/>
    </xf>
    <xf numFmtId="0" fontId="48" fillId="42" borderId="29" xfId="0" applyFont="1" applyFill="1" applyBorder="1">
      <alignment vertical="center"/>
    </xf>
    <xf numFmtId="0" fontId="44" fillId="36" borderId="21" xfId="0" applyFont="1" applyFill="1" applyBorder="1">
      <alignment vertical="center"/>
    </xf>
    <xf numFmtId="0" fontId="49" fillId="42" borderId="29" xfId="0" applyFont="1" applyFill="1" applyBorder="1">
      <alignment vertical="center"/>
    </xf>
    <xf numFmtId="0" fontId="52" fillId="41" borderId="38" xfId="0" applyFont="1" applyFill="1" applyBorder="1">
      <alignment vertical="center"/>
    </xf>
    <xf numFmtId="0" fontId="38" fillId="36" borderId="20" xfId="0" applyFont="1" applyFill="1" applyBorder="1">
      <alignment vertical="center"/>
    </xf>
    <xf numFmtId="0" fontId="38" fillId="36" borderId="0" xfId="0" applyFont="1" applyFill="1">
      <alignment vertical="center"/>
    </xf>
    <xf numFmtId="0" fontId="47" fillId="42" borderId="30" xfId="0" applyFont="1" applyFill="1" applyBorder="1">
      <alignment vertical="center"/>
    </xf>
    <xf numFmtId="0" fontId="47" fillId="42" borderId="34" xfId="0" applyFont="1" applyFill="1" applyBorder="1">
      <alignment vertical="center"/>
    </xf>
    <xf numFmtId="0" fontId="50" fillId="41" borderId="39" xfId="0" applyFont="1" applyFill="1" applyBorder="1">
      <alignment vertical="center"/>
    </xf>
    <xf numFmtId="0" fontId="38" fillId="36" borderId="26" xfId="0" applyFont="1" applyFill="1" applyBorder="1">
      <alignment vertical="center"/>
    </xf>
    <xf numFmtId="0" fontId="0" fillId="36" borderId="20" xfId="0" applyFill="1" applyBorder="1">
      <alignment vertical="center"/>
    </xf>
    <xf numFmtId="0" fontId="0" fillId="36" borderId="28" xfId="0" applyFill="1" applyBorder="1">
      <alignment vertical="center"/>
    </xf>
    <xf numFmtId="0" fontId="0" fillId="36" borderId="0" xfId="0" applyFill="1">
      <alignment vertical="center"/>
    </xf>
    <xf numFmtId="178" fontId="51" fillId="41" borderId="37" xfId="44" applyNumberFormat="1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178" fontId="51" fillId="41" borderId="40" xfId="0" applyNumberFormat="1" applyFont="1" applyFill="1" applyBorder="1" applyAlignment="1">
      <alignment horizontal="center" vertical="center"/>
    </xf>
    <xf numFmtId="178" fontId="57" fillId="37" borderId="1" xfId="44" applyNumberFormat="1" applyFont="1" applyFill="1" applyBorder="1" applyAlignment="1">
      <alignment horizontal="left" vertical="center"/>
    </xf>
    <xf numFmtId="178" fontId="57" fillId="37" borderId="26" xfId="44" applyNumberFormat="1" applyFont="1" applyFill="1" applyBorder="1" applyAlignment="1">
      <alignment horizontal="left" vertical="center"/>
    </xf>
    <xf numFmtId="178" fontId="56" fillId="36" borderId="24" xfId="44" applyNumberFormat="1" applyFont="1" applyFill="1" applyBorder="1" applyAlignment="1">
      <alignment horizontal="center" vertical="center"/>
    </xf>
    <xf numFmtId="178" fontId="56" fillId="36" borderId="23" xfId="44" applyNumberFormat="1" applyFont="1" applyFill="1" applyBorder="1" applyAlignment="1">
      <alignment horizontal="center" vertical="center"/>
    </xf>
    <xf numFmtId="178" fontId="57" fillId="42" borderId="31" xfId="44" applyNumberFormat="1" applyFont="1" applyFill="1" applyBorder="1" applyAlignment="1">
      <alignment horizontal="center" vertical="center"/>
    </xf>
    <xf numFmtId="178" fontId="57" fillId="42" borderId="35" xfId="44" applyNumberFormat="1" applyFont="1" applyFill="1" applyBorder="1" applyAlignment="1">
      <alignment horizontal="center" vertical="center"/>
    </xf>
    <xf numFmtId="0" fontId="63" fillId="36" borderId="0" xfId="0" applyFont="1" applyFill="1" applyAlignment="1">
      <alignment horizontal="left" vertical="center"/>
    </xf>
    <xf numFmtId="0" fontId="61" fillId="36" borderId="18" xfId="0" applyFont="1" applyFill="1" applyBorder="1" applyAlignment="1">
      <alignment horizontal="center" vertical="center"/>
    </xf>
    <xf numFmtId="3" fontId="59" fillId="36" borderId="18" xfId="0" applyNumberFormat="1" applyFont="1" applyFill="1" applyBorder="1" applyAlignment="1">
      <alignment horizontal="right" vertical="center"/>
    </xf>
    <xf numFmtId="0" fontId="37" fillId="44" borderId="0" xfId="0" applyFont="1" applyFill="1" applyAlignment="1">
      <alignment horizontal="center" vertical="center"/>
    </xf>
    <xf numFmtId="0" fontId="66" fillId="36" borderId="46" xfId="0" applyFont="1" applyFill="1" applyBorder="1" applyAlignment="1">
      <alignment horizontal="center" vertical="center"/>
    </xf>
    <xf numFmtId="0" fontId="67" fillId="36" borderId="46" xfId="0" applyFont="1" applyFill="1" applyBorder="1" applyAlignment="1">
      <alignment horizontal="center" vertical="center"/>
    </xf>
    <xf numFmtId="0" fontId="67" fillId="36" borderId="47" xfId="0" applyFont="1" applyFill="1" applyBorder="1" applyAlignment="1">
      <alignment horizontal="center" vertical="center"/>
    </xf>
    <xf numFmtId="0" fontId="68" fillId="42" borderId="48" xfId="0" applyFont="1" applyFill="1" applyBorder="1" applyAlignment="1">
      <alignment horizontal="center" vertical="center"/>
    </xf>
    <xf numFmtId="0" fontId="67" fillId="36" borderId="49" xfId="0" applyFont="1" applyFill="1" applyBorder="1" applyAlignment="1">
      <alignment horizontal="center" vertical="center"/>
    </xf>
    <xf numFmtId="0" fontId="68" fillId="42" borderId="50" xfId="0" applyFont="1" applyFill="1" applyBorder="1" applyAlignment="1">
      <alignment horizontal="center" vertical="center"/>
    </xf>
    <xf numFmtId="0" fontId="69" fillId="41" borderId="36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41" fontId="70" fillId="0" borderId="51" xfId="43" applyFont="1" applyBorder="1">
      <alignment vertical="center"/>
    </xf>
    <xf numFmtId="0" fontId="36" fillId="44" borderId="18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80" fontId="38" fillId="36" borderId="20" xfId="43" applyNumberFormat="1" applyFont="1" applyFill="1" applyBorder="1" applyAlignment="1">
      <alignment horizontal="right" vertical="center"/>
    </xf>
    <xf numFmtId="179" fontId="38" fillId="36" borderId="20" xfId="0" applyNumberFormat="1" applyFont="1" applyFill="1" applyBorder="1" applyAlignment="1">
      <alignment horizontal="right" vertical="center"/>
    </xf>
    <xf numFmtId="181" fontId="38" fillId="36" borderId="21" xfId="0" applyNumberFormat="1" applyFont="1" applyFill="1" applyBorder="1" applyAlignment="1">
      <alignment horizontal="right" vertical="center"/>
    </xf>
    <xf numFmtId="186" fontId="38" fillId="36" borderId="20" xfId="43" applyNumberFormat="1" applyFont="1" applyFill="1" applyBorder="1" applyAlignment="1">
      <alignment horizontal="right" vertical="center"/>
    </xf>
    <xf numFmtId="181" fontId="36" fillId="42" borderId="30" xfId="0" applyNumberFormat="1" applyFont="1" applyFill="1" applyBorder="1" applyAlignment="1">
      <alignment horizontal="right" vertical="center" wrapText="1"/>
    </xf>
    <xf numFmtId="179" fontId="36" fillId="42" borderId="30" xfId="0" applyNumberFormat="1" applyFont="1" applyFill="1" applyBorder="1" applyAlignment="1">
      <alignment horizontal="right" vertical="center"/>
    </xf>
    <xf numFmtId="180" fontId="36" fillId="42" borderId="30" xfId="43" applyNumberFormat="1" applyFont="1" applyFill="1" applyBorder="1" applyAlignment="1">
      <alignment horizontal="right" vertical="center"/>
    </xf>
    <xf numFmtId="181" fontId="36" fillId="42" borderId="29" xfId="0" applyNumberFormat="1" applyFont="1" applyFill="1" applyBorder="1" applyAlignment="1">
      <alignment horizontal="right" vertical="center"/>
    </xf>
    <xf numFmtId="0" fontId="82" fillId="36" borderId="21" xfId="0" applyFont="1" applyFill="1" applyBorder="1">
      <alignment vertical="center"/>
    </xf>
    <xf numFmtId="0" fontId="82" fillId="36" borderId="29" xfId="0" applyFont="1" applyFill="1" applyBorder="1">
      <alignment vertical="center"/>
    </xf>
    <xf numFmtId="0" fontId="82" fillId="36" borderId="17" xfId="0" applyFont="1" applyFill="1" applyBorder="1">
      <alignment vertical="center"/>
    </xf>
    <xf numFmtId="0" fontId="82" fillId="36" borderId="27" xfId="0" applyFont="1" applyFill="1" applyBorder="1">
      <alignment vertical="center"/>
    </xf>
    <xf numFmtId="0" fontId="84" fillId="45" borderId="21" xfId="0" applyFont="1" applyFill="1" applyBorder="1">
      <alignment vertical="center"/>
    </xf>
    <xf numFmtId="0" fontId="38" fillId="42" borderId="33" xfId="0" applyFont="1" applyFill="1" applyBorder="1">
      <alignment vertical="center"/>
    </xf>
    <xf numFmtId="0" fontId="86" fillId="41" borderId="41" xfId="0" applyFont="1" applyFill="1" applyBorder="1">
      <alignment vertical="center"/>
    </xf>
    <xf numFmtId="181" fontId="36" fillId="42" borderId="34" xfId="0" applyNumberFormat="1" applyFont="1" applyFill="1" applyBorder="1" applyAlignment="1">
      <alignment horizontal="right" vertical="center" wrapText="1"/>
    </xf>
    <xf numFmtId="179" fontId="36" fillId="42" borderId="34" xfId="0" applyNumberFormat="1" applyFont="1" applyFill="1" applyBorder="1" applyAlignment="1">
      <alignment horizontal="right" vertical="center"/>
    </xf>
    <xf numFmtId="180" fontId="36" fillId="42" borderId="34" xfId="0" applyNumberFormat="1" applyFont="1" applyFill="1" applyBorder="1" applyAlignment="1">
      <alignment horizontal="right" vertical="center"/>
    </xf>
    <xf numFmtId="181" fontId="36" fillId="42" borderId="33" xfId="0" applyNumberFormat="1" applyFont="1" applyFill="1" applyBorder="1" applyAlignment="1">
      <alignment horizontal="right" vertical="center"/>
    </xf>
    <xf numFmtId="180" fontId="36" fillId="42" borderId="34" xfId="43" applyNumberFormat="1" applyFont="1" applyFill="1" applyBorder="1" applyAlignment="1">
      <alignment horizontal="right" vertical="center"/>
    </xf>
    <xf numFmtId="0" fontId="62" fillId="38" borderId="0" xfId="0" applyFont="1" applyFill="1">
      <alignment vertical="center"/>
    </xf>
    <xf numFmtId="0" fontId="88" fillId="42" borderId="29" xfId="0" applyFont="1" applyFill="1" applyBorder="1">
      <alignment vertical="center"/>
    </xf>
    <xf numFmtId="0" fontId="88" fillId="42" borderId="33" xfId="0" applyFont="1" applyFill="1" applyBorder="1">
      <alignment vertical="center"/>
    </xf>
    <xf numFmtId="9" fontId="43" fillId="44" borderId="0" xfId="44" applyFont="1" applyFill="1" applyAlignment="1">
      <alignment horizontal="center" vertical="center"/>
    </xf>
    <xf numFmtId="0" fontId="62" fillId="44" borderId="18" xfId="0" applyFont="1" applyFill="1" applyBorder="1" applyAlignment="1">
      <alignment horizontal="center" vertical="center" wrapText="1"/>
    </xf>
    <xf numFmtId="181" fontId="36" fillId="44" borderId="22" xfId="0" applyNumberFormat="1" applyFont="1" applyFill="1" applyBorder="1" applyAlignment="1">
      <alignment horizontal="center" vertical="center" wrapText="1"/>
    </xf>
    <xf numFmtId="187" fontId="65" fillId="36" borderId="0" xfId="0" applyNumberFormat="1" applyFont="1" applyFill="1" applyAlignment="1">
      <alignment horizontal="right" vertical="center"/>
    </xf>
    <xf numFmtId="187" fontId="91" fillId="36" borderId="0" xfId="0" applyNumberFormat="1" applyFont="1" applyFill="1" applyAlignment="1">
      <alignment horizontal="right" vertical="center"/>
    </xf>
    <xf numFmtId="178" fontId="91" fillId="36" borderId="0" xfId="44" applyNumberFormat="1" applyFont="1" applyFill="1" applyAlignment="1">
      <alignment horizontal="right" vertical="center" wrapText="1"/>
    </xf>
    <xf numFmtId="41" fontId="45" fillId="36" borderId="0" xfId="43" applyFont="1" applyFill="1" applyAlignment="1">
      <alignment horizontal="right" vertical="center"/>
    </xf>
    <xf numFmtId="0" fontId="45" fillId="36" borderId="0" xfId="0" applyFont="1" applyFill="1" applyAlignment="1">
      <alignment horizontal="right" vertical="center"/>
    </xf>
    <xf numFmtId="0" fontId="48" fillId="44" borderId="18" xfId="0" applyFont="1" applyFill="1" applyBorder="1" applyAlignment="1">
      <alignment horizontal="center" vertical="center" wrapText="1"/>
    </xf>
    <xf numFmtId="187" fontId="51" fillId="41" borderId="39" xfId="0" applyNumberFormat="1" applyFont="1" applyFill="1" applyBorder="1" applyAlignment="1">
      <alignment horizontal="center" vertical="center" wrapText="1"/>
    </xf>
    <xf numFmtId="187" fontId="51" fillId="41" borderId="38" xfId="0" applyNumberFormat="1" applyFont="1" applyFill="1" applyBorder="1" applyAlignment="1">
      <alignment horizontal="center" vertical="center"/>
    </xf>
    <xf numFmtId="3" fontId="64" fillId="44" borderId="18" xfId="0" applyNumberFormat="1" applyFont="1" applyFill="1" applyBorder="1" applyAlignment="1">
      <alignment horizontal="left" vertical="center"/>
    </xf>
    <xf numFmtId="3" fontId="65" fillId="0" borderId="18" xfId="0" applyNumberFormat="1" applyFont="1" applyBorder="1">
      <alignment vertical="center"/>
    </xf>
    <xf numFmtId="178" fontId="59" fillId="44" borderId="18" xfId="0" applyNumberFormat="1" applyFont="1" applyFill="1" applyBorder="1" applyAlignment="1">
      <alignment horizontal="center" vertical="center"/>
    </xf>
    <xf numFmtId="0" fontId="63" fillId="36" borderId="0" xfId="0" applyFont="1" applyFill="1" applyAlignment="1">
      <alignment horizontal="right" vertical="center"/>
    </xf>
    <xf numFmtId="0" fontId="91" fillId="36" borderId="0" xfId="0" applyFont="1" applyFill="1" applyAlignment="1">
      <alignment horizontal="left" vertical="center"/>
    </xf>
    <xf numFmtId="0" fontId="87" fillId="36" borderId="0" xfId="0" applyFont="1" applyFill="1" applyAlignment="1">
      <alignment horizontal="left" vertical="center"/>
    </xf>
    <xf numFmtId="0" fontId="96" fillId="36" borderId="21" xfId="0" applyFont="1" applyFill="1" applyBorder="1">
      <alignment vertical="center"/>
    </xf>
    <xf numFmtId="0" fontId="87" fillId="42" borderId="29" xfId="0" applyFont="1" applyFill="1" applyBorder="1">
      <alignment vertical="center"/>
    </xf>
    <xf numFmtId="49" fontId="42" fillId="40" borderId="15" xfId="0" applyNumberFormat="1" applyFont="1" applyFill="1" applyBorder="1" applyAlignment="1">
      <alignment horizontal="center" vertical="center" wrapText="1"/>
    </xf>
    <xf numFmtId="49" fontId="41" fillId="39" borderId="15" xfId="0" applyNumberFormat="1" applyFont="1" applyFill="1" applyBorder="1" applyAlignment="1">
      <alignment horizontal="center" vertical="center" wrapText="1"/>
    </xf>
    <xf numFmtId="183" fontId="42" fillId="40" borderId="15" xfId="0" applyNumberFormat="1" applyFont="1" applyFill="1" applyBorder="1" applyAlignment="1">
      <alignment horizontal="right" vertical="center" wrapText="1"/>
    </xf>
    <xf numFmtId="49" fontId="42" fillId="40" borderId="15" xfId="0" applyNumberFormat="1" applyFont="1" applyFill="1" applyBorder="1" applyAlignment="1">
      <alignment horizontal="left" vertical="center" wrapText="1"/>
    </xf>
    <xf numFmtId="184" fontId="42" fillId="34" borderId="16" xfId="0" applyNumberFormat="1" applyFont="1" applyFill="1" applyBorder="1" applyAlignment="1">
      <alignment horizontal="right" vertical="center" wrapText="1"/>
    </xf>
    <xf numFmtId="182" fontId="42" fillId="40" borderId="15" xfId="0" applyNumberFormat="1" applyFont="1" applyFill="1" applyBorder="1" applyAlignment="1">
      <alignment horizontal="center" vertical="center" wrapText="1"/>
    </xf>
    <xf numFmtId="183" fontId="42" fillId="34" borderId="16" xfId="0" applyNumberFormat="1" applyFont="1" applyFill="1" applyBorder="1" applyAlignment="1">
      <alignment horizontal="right" vertical="center" wrapText="1"/>
    </xf>
    <xf numFmtId="49" fontId="42" fillId="34" borderId="16" xfId="0" applyNumberFormat="1" applyFont="1" applyFill="1" applyBorder="1" applyAlignment="1">
      <alignment horizontal="center" vertical="center" wrapText="1"/>
    </xf>
    <xf numFmtId="176" fontId="42" fillId="34" borderId="16" xfId="0" applyNumberFormat="1" applyFont="1" applyFill="1" applyBorder="1" applyAlignment="1">
      <alignment horizontal="right" vertical="center" wrapText="1"/>
    </xf>
    <xf numFmtId="182" fontId="42" fillId="34" borderId="16" xfId="0" applyNumberFormat="1" applyFont="1" applyFill="1" applyBorder="1" applyAlignment="1">
      <alignment horizontal="center" vertical="center" wrapText="1"/>
    </xf>
    <xf numFmtId="49" fontId="42" fillId="34" borderId="16" xfId="0" applyNumberFormat="1" applyFont="1" applyFill="1" applyBorder="1" applyAlignment="1">
      <alignment horizontal="left" vertical="center" wrapText="1"/>
    </xf>
    <xf numFmtId="185" fontId="42" fillId="34" borderId="16" xfId="0" applyNumberFormat="1" applyFont="1" applyFill="1" applyBorder="1" applyAlignment="1">
      <alignment horizontal="right" vertical="center" wrapText="1"/>
    </xf>
    <xf numFmtId="49" fontId="41" fillId="39" borderId="14" xfId="0" applyNumberFormat="1" applyFont="1" applyFill="1" applyBorder="1" applyAlignment="1">
      <alignment vertical="center" wrapText="1"/>
    </xf>
    <xf numFmtId="176" fontId="42" fillId="34" borderId="15" xfId="0" applyNumberFormat="1" applyFont="1" applyFill="1" applyBorder="1" applyAlignment="1">
      <alignment horizontal="right" vertical="center" wrapText="1"/>
    </xf>
    <xf numFmtId="49" fontId="42" fillId="34" borderId="15" xfId="0" applyNumberFormat="1" applyFont="1" applyFill="1" applyBorder="1" applyAlignment="1">
      <alignment horizontal="left" vertical="center" wrapText="1"/>
    </xf>
    <xf numFmtId="49" fontId="42" fillId="34" borderId="15" xfId="0" applyNumberFormat="1" applyFont="1" applyFill="1" applyBorder="1" applyAlignment="1">
      <alignment horizontal="center" vertical="center" wrapText="1"/>
    </xf>
    <xf numFmtId="183" fontId="42" fillId="34" borderId="15" xfId="0" applyNumberFormat="1" applyFont="1" applyFill="1" applyBorder="1" applyAlignment="1">
      <alignment horizontal="right" vertical="center" wrapText="1"/>
    </xf>
    <xf numFmtId="49" fontId="41" fillId="39" borderId="11" xfId="0" applyNumberFormat="1" applyFont="1" applyFill="1" applyBorder="1" applyAlignment="1">
      <alignment vertical="center" wrapText="1"/>
    </xf>
    <xf numFmtId="182" fontId="42" fillId="34" borderId="15" xfId="0" applyNumberFormat="1" applyFont="1" applyFill="1" applyBorder="1" applyAlignment="1">
      <alignment horizontal="center" vertical="center" wrapText="1"/>
    </xf>
    <xf numFmtId="185" fontId="42" fillId="34" borderId="15" xfId="0" applyNumberFormat="1" applyFont="1" applyFill="1" applyBorder="1" applyAlignment="1">
      <alignment horizontal="right" vertical="center" wrapText="1"/>
    </xf>
    <xf numFmtId="49" fontId="41" fillId="39" borderId="12" xfId="0" applyNumberFormat="1" applyFont="1" applyFill="1" applyBorder="1" applyAlignment="1">
      <alignment vertical="center" wrapText="1"/>
    </xf>
    <xf numFmtId="184" fontId="42" fillId="34" borderId="15" xfId="0" applyNumberFormat="1" applyFont="1" applyFill="1" applyBorder="1" applyAlignment="1">
      <alignment horizontal="right" vertical="center" wrapText="1"/>
    </xf>
    <xf numFmtId="49" fontId="41" fillId="39" borderId="15" xfId="0" applyNumberFormat="1" applyFont="1" applyFill="1" applyBorder="1" applyAlignment="1">
      <alignment vertical="center" wrapText="1"/>
    </xf>
    <xf numFmtId="184" fontId="42" fillId="40" borderId="15" xfId="0" applyNumberFormat="1" applyFont="1" applyFill="1" applyBorder="1" applyAlignment="1">
      <alignment horizontal="right" vertical="center" wrapText="1"/>
    </xf>
    <xf numFmtId="176" fontId="42" fillId="40" borderId="15" xfId="0" applyNumberFormat="1" applyFont="1" applyFill="1" applyBorder="1" applyAlignment="1">
      <alignment horizontal="right" vertical="center" wrapText="1"/>
    </xf>
    <xf numFmtId="49" fontId="35" fillId="33" borderId="15" xfId="0" applyNumberFormat="1" applyFont="1" applyFill="1" applyBorder="1" applyAlignment="1">
      <alignment horizontal="left" vertical="center" wrapText="1"/>
    </xf>
    <xf numFmtId="49" fontId="35" fillId="35" borderId="15" xfId="0" applyNumberFormat="1" applyFont="1" applyFill="1" applyBorder="1" applyAlignment="1">
      <alignment horizontal="center" vertical="center" wrapText="1"/>
    </xf>
    <xf numFmtId="49" fontId="35" fillId="35" borderId="15" xfId="0" applyNumberFormat="1" applyFont="1" applyFill="1" applyBorder="1" applyAlignment="1">
      <alignment horizontal="left" vertical="center" wrapText="1"/>
    </xf>
    <xf numFmtId="176" fontId="35" fillId="35" borderId="15" xfId="0" applyNumberFormat="1" applyFont="1" applyFill="1" applyBorder="1" applyAlignment="1">
      <alignment horizontal="right" vertical="center" wrapText="1"/>
    </xf>
    <xf numFmtId="177" fontId="35" fillId="35" borderId="15" xfId="0" applyNumberFormat="1" applyFont="1" applyFill="1" applyBorder="1" applyAlignment="1">
      <alignment horizontal="right" vertical="center" wrapText="1"/>
    </xf>
    <xf numFmtId="49" fontId="35" fillId="34" borderId="15" xfId="0" applyNumberFormat="1" applyFont="1" applyFill="1" applyBorder="1" applyAlignment="1">
      <alignment horizontal="center" vertical="center" wrapText="1"/>
    </xf>
    <xf numFmtId="49" fontId="35" fillId="34" borderId="15" xfId="0" applyNumberFormat="1" applyFont="1" applyFill="1" applyBorder="1" applyAlignment="1">
      <alignment horizontal="left" vertical="center" wrapText="1"/>
    </xf>
    <xf numFmtId="176" fontId="35" fillId="34" borderId="15" xfId="0" applyNumberFormat="1" applyFont="1" applyFill="1" applyBorder="1" applyAlignment="1">
      <alignment horizontal="right" vertical="center" wrapText="1"/>
    </xf>
    <xf numFmtId="177" fontId="35" fillId="34" borderId="15" xfId="0" applyNumberFormat="1" applyFont="1" applyFill="1" applyBorder="1" applyAlignment="1">
      <alignment horizontal="right" vertical="center" wrapText="1"/>
    </xf>
    <xf numFmtId="49" fontId="97" fillId="0" borderId="16" xfId="0" applyNumberFormat="1" applyFont="1" applyBorder="1" applyAlignment="1">
      <alignment horizontal="right" vertical="center" wrapText="1"/>
    </xf>
    <xf numFmtId="176" fontId="97" fillId="0" borderId="16" xfId="0" applyNumberFormat="1" applyFont="1" applyBorder="1" applyAlignment="1">
      <alignment horizontal="right" vertical="center" wrapText="1"/>
    </xf>
    <xf numFmtId="49" fontId="34" fillId="0" borderId="15" xfId="0" applyNumberFormat="1" applyFont="1" applyBorder="1" applyAlignment="1">
      <alignment horizontal="center" vertical="center" wrapText="1"/>
    </xf>
    <xf numFmtId="49" fontId="34" fillId="0" borderId="12" xfId="0" applyNumberFormat="1" applyFont="1" applyBorder="1" applyAlignment="1">
      <alignment vertical="center" wrapText="1"/>
    </xf>
    <xf numFmtId="49" fontId="34" fillId="0" borderId="13" xfId="0" applyNumberFormat="1" applyFont="1" applyBorder="1" applyAlignment="1">
      <alignment vertical="center" wrapText="1"/>
    </xf>
    <xf numFmtId="49" fontId="34" fillId="0" borderId="14" xfId="0" applyNumberFormat="1" applyFont="1" applyBorder="1" applyAlignment="1">
      <alignment vertical="center" wrapText="1"/>
    </xf>
    <xf numFmtId="49" fontId="33" fillId="0" borderId="11" xfId="0" applyNumberFormat="1" applyFont="1" applyBorder="1" applyAlignment="1">
      <alignment vertical="center" wrapText="1"/>
    </xf>
    <xf numFmtId="49" fontId="33" fillId="0" borderId="15" xfId="0" applyNumberFormat="1" applyFont="1" applyBorder="1" applyAlignment="1">
      <alignment vertical="center" wrapText="1"/>
    </xf>
    <xf numFmtId="49" fontId="34" fillId="0" borderId="11" xfId="0" applyNumberFormat="1" applyFont="1" applyBorder="1" applyAlignment="1">
      <alignment vertical="center" wrapText="1"/>
    </xf>
    <xf numFmtId="49" fontId="34" fillId="0" borderId="15" xfId="0" applyNumberFormat="1" applyFont="1" applyBorder="1" applyAlignment="1">
      <alignment vertical="center" wrapText="1"/>
    </xf>
    <xf numFmtId="49" fontId="35" fillId="33" borderId="16" xfId="0" applyNumberFormat="1" applyFont="1" applyFill="1" applyBorder="1" applyAlignment="1">
      <alignment horizontal="left" vertical="center" wrapText="1"/>
    </xf>
    <xf numFmtId="49" fontId="35" fillId="34" borderId="16" xfId="0" applyNumberFormat="1" applyFont="1" applyFill="1" applyBorder="1" applyAlignment="1">
      <alignment horizontal="center" vertical="center" wrapText="1"/>
    </xf>
    <xf numFmtId="49" fontId="35" fillId="34" borderId="16" xfId="0" applyNumberFormat="1" applyFont="1" applyFill="1" applyBorder="1" applyAlignment="1">
      <alignment horizontal="left" vertical="center" wrapText="1"/>
    </xf>
    <xf numFmtId="176" fontId="35" fillId="34" borderId="16" xfId="0" applyNumberFormat="1" applyFont="1" applyFill="1" applyBorder="1" applyAlignment="1">
      <alignment horizontal="right" vertical="center" wrapText="1"/>
    </xf>
    <xf numFmtId="177" fontId="35" fillId="34" borderId="16" xfId="0" applyNumberFormat="1" applyFont="1" applyFill="1" applyBorder="1" applyAlignment="1">
      <alignment horizontal="right" vertical="center" wrapText="1"/>
    </xf>
    <xf numFmtId="176" fontId="98" fillId="46" borderId="15" xfId="0" applyNumberFormat="1" applyFont="1" applyFill="1" applyBorder="1" applyAlignment="1">
      <alignment horizontal="right" vertical="center" wrapText="1"/>
    </xf>
    <xf numFmtId="0" fontId="83" fillId="36" borderId="21" xfId="0" applyFont="1" applyFill="1" applyBorder="1">
      <alignment vertical="center"/>
    </xf>
    <xf numFmtId="0" fontId="95" fillId="44" borderId="0" xfId="0" applyFont="1" applyFill="1" applyAlignment="1">
      <alignment horizontal="center" vertical="center"/>
    </xf>
    <xf numFmtId="0" fontId="36" fillId="44" borderId="56" xfId="0" applyFont="1" applyFill="1" applyBorder="1" applyAlignment="1">
      <alignment horizontal="center" vertical="center" wrapText="1"/>
    </xf>
    <xf numFmtId="0" fontId="36" fillId="44" borderId="57" xfId="0" applyFont="1" applyFill="1" applyBorder="1" applyAlignment="1">
      <alignment horizontal="center" vertical="center" wrapText="1"/>
    </xf>
    <xf numFmtId="0" fontId="48" fillId="44" borderId="58" xfId="0" applyFont="1" applyFill="1" applyBorder="1" applyAlignment="1">
      <alignment horizontal="center" vertical="center" wrapText="1"/>
    </xf>
    <xf numFmtId="0" fontId="36" fillId="44" borderId="59" xfId="0" applyFont="1" applyFill="1" applyBorder="1" applyAlignment="1">
      <alignment horizontal="center" vertical="center" wrapText="1"/>
    </xf>
    <xf numFmtId="181" fontId="93" fillId="44" borderId="60" xfId="0" applyNumberFormat="1" applyFont="1" applyFill="1" applyBorder="1" applyAlignment="1">
      <alignment horizontal="center" vertical="center" wrapText="1"/>
    </xf>
    <xf numFmtId="181" fontId="93" fillId="44" borderId="44" xfId="0" applyNumberFormat="1" applyFont="1" applyFill="1" applyBorder="1" applyAlignment="1">
      <alignment horizontal="center" vertical="center" wrapText="1"/>
    </xf>
    <xf numFmtId="181" fontId="93" fillId="44" borderId="61" xfId="0" applyNumberFormat="1" applyFont="1" applyFill="1" applyBorder="1" applyAlignment="1">
      <alignment horizontal="center" vertical="center" wrapText="1"/>
    </xf>
    <xf numFmtId="181" fontId="93" fillId="44" borderId="43" xfId="0" applyNumberFormat="1" applyFont="1" applyFill="1" applyBorder="1" applyAlignment="1">
      <alignment horizontal="center" vertical="center" wrapText="1"/>
    </xf>
    <xf numFmtId="0" fontId="60" fillId="41" borderId="0" xfId="0" applyFont="1" applyFill="1" applyAlignment="1">
      <alignment horizontal="center" vertical="center" wrapText="1"/>
    </xf>
    <xf numFmtId="0" fontId="60" fillId="41" borderId="0" xfId="0" applyFont="1" applyFill="1" applyAlignment="1">
      <alignment horizontal="center" vertical="center"/>
    </xf>
    <xf numFmtId="0" fontId="36" fillId="44" borderId="45" xfId="0" applyFont="1" applyFill="1" applyBorder="1" applyAlignment="1">
      <alignment horizontal="center" vertical="center" wrapText="1"/>
    </xf>
    <xf numFmtId="0" fontId="36" fillId="44" borderId="32" xfId="0" applyFont="1" applyFill="1" applyBorder="1" applyAlignment="1">
      <alignment horizontal="center" vertical="center" wrapText="1"/>
    </xf>
    <xf numFmtId="0" fontId="36" fillId="44" borderId="43" xfId="0" applyFont="1" applyFill="1" applyBorder="1" applyAlignment="1">
      <alignment horizontal="center" vertical="center" wrapText="1"/>
    </xf>
    <xf numFmtId="0" fontId="36" fillId="44" borderId="19" xfId="0" applyFont="1" applyFill="1" applyBorder="1" applyAlignment="1">
      <alignment horizontal="center" vertical="center" wrapText="1"/>
    </xf>
    <xf numFmtId="0" fontId="36" fillId="44" borderId="42" xfId="0" applyFont="1" applyFill="1" applyBorder="1" applyAlignment="1">
      <alignment horizontal="center" vertical="center" wrapText="1"/>
    </xf>
    <xf numFmtId="0" fontId="36" fillId="44" borderId="18" xfId="0" applyFont="1" applyFill="1" applyBorder="1" applyAlignment="1">
      <alignment horizontal="center" vertical="center" wrapText="1"/>
    </xf>
    <xf numFmtId="0" fontId="36" fillId="44" borderId="55" xfId="0" applyFont="1" applyFill="1" applyBorder="1" applyAlignment="1">
      <alignment horizontal="center" vertical="center" wrapText="1"/>
    </xf>
    <xf numFmtId="0" fontId="36" fillId="44" borderId="25" xfId="0" applyFont="1" applyFill="1" applyBorder="1" applyAlignment="1">
      <alignment horizontal="center" vertical="center" wrapText="1"/>
    </xf>
  </cellXfs>
  <cellStyles count="228">
    <cellStyle name="20% - 강조색1" xfId="18" builtinId="30" customBuiltin="1"/>
    <cellStyle name="20% - 강조색1 2" xfId="48" xr:uid="{706918FF-98E1-4C67-90AD-8CCC41EFBA69}"/>
    <cellStyle name="20% - 강조색1 3" xfId="68" xr:uid="{A5AB5423-D6C1-40C5-B3EA-06C02D5E44E9}"/>
    <cellStyle name="20% - 강조색1 4" xfId="88" xr:uid="{20DE1563-8295-4A84-9273-CBC21FB0A49D}"/>
    <cellStyle name="20% - 강조색1 5" xfId="110" xr:uid="{143E0F31-B7A2-4B91-9ADE-5349E67B2DE3}"/>
    <cellStyle name="20% - 강조색1 6" xfId="131" xr:uid="{8194DD12-911C-4EE1-989A-8E5E91434E37}"/>
    <cellStyle name="20% - 강조색1 7" xfId="163" xr:uid="{72F4BB1F-C73F-468B-9D4C-F22AFF673187}"/>
    <cellStyle name="20% - 강조색1 8" xfId="188" xr:uid="{12FE3E47-D19B-45DD-B1F3-BE5604448820}"/>
    <cellStyle name="20% - 강조색1 9" xfId="208" xr:uid="{B936756B-5872-42E6-8226-85018E898B12}"/>
    <cellStyle name="20% - 강조색2" xfId="22" builtinId="34" customBuiltin="1"/>
    <cellStyle name="20% - 강조색2 2" xfId="51" xr:uid="{9946E050-8759-498B-A4FE-56DBF05BF8F5}"/>
    <cellStyle name="20% - 강조색2 3" xfId="71" xr:uid="{7871C070-93E3-45B4-A996-2CCF3C11170D}"/>
    <cellStyle name="20% - 강조색2 4" xfId="91" xr:uid="{E14B5594-B3EE-4B4E-AE21-5FB158ACFD4A}"/>
    <cellStyle name="20% - 강조색2 5" xfId="113" xr:uid="{AF427B62-375F-44CD-9C58-358BFABA216B}"/>
    <cellStyle name="20% - 강조색2 6" xfId="134" xr:uid="{12FF056E-5989-4E39-BED0-856ACA2AACA1}"/>
    <cellStyle name="20% - 강조색2 7" xfId="167" xr:uid="{E43EEC67-55B6-433D-9641-94803A01B099}"/>
    <cellStyle name="20% - 강조색2 8" xfId="191" xr:uid="{7B6E2F10-0EEA-4AEF-99E0-EC7F117AC59E}"/>
    <cellStyle name="20% - 강조색2 9" xfId="211" xr:uid="{6DD271FC-9AC3-4AC9-AE14-8D1CF0D04A2F}"/>
    <cellStyle name="20% - 강조색3" xfId="26" builtinId="38" customBuiltin="1"/>
    <cellStyle name="20% - 강조색3 2" xfId="54" xr:uid="{3C2ED0C9-0EF6-46BF-8148-6668891344AE}"/>
    <cellStyle name="20% - 강조색3 3" xfId="74" xr:uid="{1CE5DAB4-DA6F-4551-845D-4DE13266644A}"/>
    <cellStyle name="20% - 강조색3 4" xfId="94" xr:uid="{159BE3CE-3297-4208-AA68-E2EDAF9C1384}"/>
    <cellStyle name="20% - 강조색3 5" xfId="116" xr:uid="{26FE698F-2AB5-42F2-8C99-F4938501F509}"/>
    <cellStyle name="20% - 강조색3 6" xfId="137" xr:uid="{F3165924-56F8-40DE-B1AD-50B44C7545EB}"/>
    <cellStyle name="20% - 강조색3 7" xfId="171" xr:uid="{B92A7735-F2B4-48EF-BEC3-00C3073A9D5A}"/>
    <cellStyle name="20% - 강조색3 8" xfId="194" xr:uid="{6E037AB0-3DEE-47FA-8DEA-12E82A130075}"/>
    <cellStyle name="20% - 강조색3 9" xfId="214" xr:uid="{FE9AD905-47D5-4B41-81B5-E29EB1123784}"/>
    <cellStyle name="20% - 강조색4" xfId="30" builtinId="42" customBuiltin="1"/>
    <cellStyle name="20% - 강조색4 2" xfId="57" xr:uid="{12668971-D925-4AAB-9457-E75DCDD4613B}"/>
    <cellStyle name="20% - 강조색4 3" xfId="77" xr:uid="{1A5A4589-6D7D-4E5F-8B03-87B4A641160E}"/>
    <cellStyle name="20% - 강조색4 4" xfId="97" xr:uid="{49817F46-7F2B-4DF7-B228-243C89A34062}"/>
    <cellStyle name="20% - 강조색4 5" xfId="119" xr:uid="{6CDF480D-12C7-4EEF-9E48-CA4E7117ED1D}"/>
    <cellStyle name="20% - 강조색4 6" xfId="140" xr:uid="{CEC77010-9FFE-4638-90ED-954C4D0A7D29}"/>
    <cellStyle name="20% - 강조색4 7" xfId="175" xr:uid="{A3B34D6A-B9D9-4756-8017-3FDAFDA606E4}"/>
    <cellStyle name="20% - 강조색4 8" xfId="197" xr:uid="{A257F32D-2385-47DB-880C-225769D6AC0F}"/>
    <cellStyle name="20% - 강조색4 9" xfId="217" xr:uid="{F9A5A927-8100-49B2-90A7-03530C599649}"/>
    <cellStyle name="20% - 강조색5" xfId="34" builtinId="46" customBuiltin="1"/>
    <cellStyle name="20% - 강조색5 2" xfId="60" xr:uid="{5D0FEBD2-8747-4582-9075-E9B009743C5D}"/>
    <cellStyle name="20% - 강조색5 3" xfId="80" xr:uid="{4D8A9B86-3EF1-49FA-80BF-5FB19669B982}"/>
    <cellStyle name="20% - 강조색5 4" xfId="100" xr:uid="{CFE54DC1-6C3B-4CF8-A1BE-DE2275E24D8B}"/>
    <cellStyle name="20% - 강조색5 5" xfId="122" xr:uid="{086B2735-BF87-4051-97E9-61C17634D96A}"/>
    <cellStyle name="20% - 강조색5 6" xfId="143" xr:uid="{A9948C5A-7C14-479C-B43D-E49D136C8157}"/>
    <cellStyle name="20% - 강조색5 7" xfId="179" xr:uid="{D057D4E2-8224-45E2-BFBA-D9C383BA0D5E}"/>
    <cellStyle name="20% - 강조색5 8" xfId="200" xr:uid="{DC92CA7F-A221-44FC-94B2-9AEAE36DB6D4}"/>
    <cellStyle name="20% - 강조색5 9" xfId="220" xr:uid="{AF733E8A-FF93-490F-B1D6-58DD868AF9AD}"/>
    <cellStyle name="20% - 강조색6" xfId="38" builtinId="50" customBuiltin="1"/>
    <cellStyle name="20% - 강조색6 2" xfId="63" xr:uid="{C4E62EB6-0463-481A-B35A-F69775C13F2D}"/>
    <cellStyle name="20% - 강조색6 3" xfId="83" xr:uid="{B5724401-CD3B-4EE5-93A3-CA857E0F6DF1}"/>
    <cellStyle name="20% - 강조색6 4" xfId="103" xr:uid="{15BCE17A-C8A2-493E-81BC-3178EDF1ED73}"/>
    <cellStyle name="20% - 강조색6 5" xfId="125" xr:uid="{7CB6602C-CBFD-40A7-981D-46E01D2AB973}"/>
    <cellStyle name="20% - 강조색6 6" xfId="146" xr:uid="{A492103C-C13D-4DA6-BE15-C33A352646DF}"/>
    <cellStyle name="20% - 강조색6 7" xfId="183" xr:uid="{501CE0F2-CD8B-4304-BF1B-8E13C6A09177}"/>
    <cellStyle name="20% - 강조색6 8" xfId="203" xr:uid="{D6090F96-9F45-42C2-A37F-100556EA1CEC}"/>
    <cellStyle name="20% - 강조색6 9" xfId="223" xr:uid="{F38A5404-AA2D-45CD-91B1-B35FFC8328D0}"/>
    <cellStyle name="40% - 강조색1" xfId="19" builtinId="31" customBuiltin="1"/>
    <cellStyle name="40% - 강조색1 2" xfId="49" xr:uid="{47DBA547-D5FA-4F0E-98FF-513357EC5D8D}"/>
    <cellStyle name="40% - 강조색1 3" xfId="69" xr:uid="{60AD9BE5-2652-4BE2-8D85-C4321FBF7C99}"/>
    <cellStyle name="40% - 강조색1 4" xfId="89" xr:uid="{1D004593-A869-4ACD-A909-5F1DD9C775D1}"/>
    <cellStyle name="40% - 강조색1 5" xfId="111" xr:uid="{3BBF7DD6-CE5F-4FAF-80F7-737D4F62EF6F}"/>
    <cellStyle name="40% - 강조색1 6" xfId="132" xr:uid="{BC358C83-FB47-46D0-ACE0-C7B890F3AB10}"/>
    <cellStyle name="40% - 강조색1 7" xfId="164" xr:uid="{AC4D95CA-D28F-4150-B090-097EECB50A3B}"/>
    <cellStyle name="40% - 강조색1 8" xfId="189" xr:uid="{42E6355A-5FEA-4261-9166-D7E72ACAF284}"/>
    <cellStyle name="40% - 강조색1 9" xfId="209" xr:uid="{A1F8CA82-17AF-419E-BF34-5397E8C8C944}"/>
    <cellStyle name="40% - 강조색2" xfId="23" builtinId="35" customBuiltin="1"/>
    <cellStyle name="40% - 강조색2 2" xfId="52" xr:uid="{EF82C5A9-3F8E-4E6A-9A07-97CA9380C966}"/>
    <cellStyle name="40% - 강조색2 3" xfId="72" xr:uid="{0FF124A4-3739-48D0-97B5-A9720863FA4B}"/>
    <cellStyle name="40% - 강조색2 4" xfId="92" xr:uid="{DF10E912-BB4C-46FC-91D4-03E4663BE9BA}"/>
    <cellStyle name="40% - 강조색2 5" xfId="114" xr:uid="{26CF4C2C-286A-47D8-A631-6B50F3E2165D}"/>
    <cellStyle name="40% - 강조색2 6" xfId="135" xr:uid="{E3AC8E70-4354-4823-A82C-EE297BB2F5D8}"/>
    <cellStyle name="40% - 강조색2 7" xfId="168" xr:uid="{CA53B890-6866-482E-8B01-7C75F32426B5}"/>
    <cellStyle name="40% - 강조색2 8" xfId="192" xr:uid="{C5FCB217-C058-4D9E-833E-AD64562E8A73}"/>
    <cellStyle name="40% - 강조색2 9" xfId="212" xr:uid="{71B42582-CE74-4F8E-A7DD-71A0853EE4B6}"/>
    <cellStyle name="40% - 강조색3" xfId="27" builtinId="39" customBuiltin="1"/>
    <cellStyle name="40% - 강조색3 2" xfId="55" xr:uid="{88074E78-7152-488E-8E1E-A43AA7077B4D}"/>
    <cellStyle name="40% - 강조색3 3" xfId="75" xr:uid="{DF6B4C0E-5C36-4BE1-98D5-1F5FC89C617C}"/>
    <cellStyle name="40% - 강조색3 4" xfId="95" xr:uid="{D483ED26-958D-4706-84BB-EF8E78E03D02}"/>
    <cellStyle name="40% - 강조색3 5" xfId="117" xr:uid="{A5C0E300-87FE-4F24-8B13-128ECAA94C94}"/>
    <cellStyle name="40% - 강조색3 6" xfId="138" xr:uid="{D1CCD6A3-8A1D-4770-868C-2DF6EF67C43D}"/>
    <cellStyle name="40% - 강조색3 7" xfId="172" xr:uid="{C2677C10-7F48-4458-9A74-DB7B554FA1AC}"/>
    <cellStyle name="40% - 강조색3 8" xfId="195" xr:uid="{3466B486-8622-447C-BA77-DFCD6FA65CFA}"/>
    <cellStyle name="40% - 강조색3 9" xfId="215" xr:uid="{376E2D18-E5A7-4142-975C-842FB60E6516}"/>
    <cellStyle name="40% - 강조색4" xfId="31" builtinId="43" customBuiltin="1"/>
    <cellStyle name="40% - 강조색4 2" xfId="58" xr:uid="{E45DAF87-990D-4AF6-83A4-5445401D264F}"/>
    <cellStyle name="40% - 강조색4 3" xfId="78" xr:uid="{C30F5786-D2C4-435A-A560-759FB37F6D0F}"/>
    <cellStyle name="40% - 강조색4 4" xfId="98" xr:uid="{5DB993D9-3E93-4E85-8451-1C17794B3D88}"/>
    <cellStyle name="40% - 강조색4 5" xfId="120" xr:uid="{F54CD1D5-C872-4320-A023-47699459E06F}"/>
    <cellStyle name="40% - 강조색4 6" xfId="141" xr:uid="{D4CEEDB5-0659-4276-8DCE-9D524D1D6DEF}"/>
    <cellStyle name="40% - 강조색4 7" xfId="176" xr:uid="{BF859330-33BE-4F20-951E-E8A7D6FE745F}"/>
    <cellStyle name="40% - 강조색4 8" xfId="198" xr:uid="{88306C58-7D5C-4F6A-8845-2B6691A7A84D}"/>
    <cellStyle name="40% - 강조색4 9" xfId="218" xr:uid="{78758665-A9E6-4969-985B-6D9CEA1C0ED5}"/>
    <cellStyle name="40% - 강조색5" xfId="35" builtinId="47" customBuiltin="1"/>
    <cellStyle name="40% - 강조색5 2" xfId="61" xr:uid="{76DB93D4-7A68-4D11-861E-113679C1901A}"/>
    <cellStyle name="40% - 강조색5 3" xfId="81" xr:uid="{C5E5E567-ABAF-4655-86DC-2C3C538D5B98}"/>
    <cellStyle name="40% - 강조색5 4" xfId="101" xr:uid="{7A77A86C-1E45-4D8F-88F2-177904B5D865}"/>
    <cellStyle name="40% - 강조색5 5" xfId="123" xr:uid="{8505A0D9-FD25-4978-9708-E499EAD2A758}"/>
    <cellStyle name="40% - 강조색5 6" xfId="144" xr:uid="{F7B4FF38-A6E6-47AE-B3B9-65A8E96E6ED0}"/>
    <cellStyle name="40% - 강조색5 7" xfId="180" xr:uid="{35D30B8C-8465-4049-A026-872673AA5C51}"/>
    <cellStyle name="40% - 강조색5 8" xfId="201" xr:uid="{F2884636-CF3F-421C-9521-83FF6DD9488F}"/>
    <cellStyle name="40% - 강조색5 9" xfId="221" xr:uid="{16A95941-EECE-4D0F-B53A-F76D11E3D348}"/>
    <cellStyle name="40% - 강조색6" xfId="39" builtinId="51" customBuiltin="1"/>
    <cellStyle name="40% - 강조색6 2" xfId="64" xr:uid="{C31D6F0C-32F6-4410-8DC5-32A25354965F}"/>
    <cellStyle name="40% - 강조색6 3" xfId="84" xr:uid="{91E8C88B-610A-4491-B463-8DBC8093E90B}"/>
    <cellStyle name="40% - 강조색6 4" xfId="104" xr:uid="{8A1357DD-C388-4C0E-A0A8-A15BAD2BF037}"/>
    <cellStyle name="40% - 강조색6 5" xfId="126" xr:uid="{623D9D11-AC12-49C4-A274-082C5CA40A03}"/>
    <cellStyle name="40% - 강조색6 6" xfId="147" xr:uid="{85F34C13-EA6E-4B51-87D0-84D74259905B}"/>
    <cellStyle name="40% - 강조색6 7" xfId="184" xr:uid="{A3F8F457-8C1D-4CB0-B3FE-3E9C493FEE9D}"/>
    <cellStyle name="40% - 강조색6 8" xfId="204" xr:uid="{8B61B68D-B9BE-46C9-82BB-00EDC168A3CB}"/>
    <cellStyle name="40% - 강조색6 9" xfId="224" xr:uid="{94755C44-BE73-4387-8399-62BD6D2910D5}"/>
    <cellStyle name="60% - 강조색1" xfId="20" builtinId="32" customBuiltin="1"/>
    <cellStyle name="60% - 강조색1 2" xfId="50" xr:uid="{9A1F24A0-1686-421A-9248-64EF73C8C522}"/>
    <cellStyle name="60% - 강조색1 3" xfId="70" xr:uid="{E4D6A8FE-4B37-4142-A3BE-FCF15E336260}"/>
    <cellStyle name="60% - 강조색1 4" xfId="90" xr:uid="{A4EAE7CA-DC51-4530-A572-D75ACB0C3F8E}"/>
    <cellStyle name="60% - 강조색1 5" xfId="112" xr:uid="{0D62B373-411D-4097-B897-F40CCFE810A5}"/>
    <cellStyle name="60% - 강조색1 6" xfId="133" xr:uid="{CF437014-1A7F-4D77-A043-58BC9C36A76D}"/>
    <cellStyle name="60% - 강조색1 7" xfId="165" xr:uid="{A7C5DE77-BE00-4D7C-9A05-34C6DCDD3F82}"/>
    <cellStyle name="60% - 강조색1 8" xfId="190" xr:uid="{7D4C7896-44F7-445B-88E6-0FA78E55B7B6}"/>
    <cellStyle name="60% - 강조색1 9" xfId="210" xr:uid="{7E9043EE-0102-4F81-BBAE-6CF657F9BAAE}"/>
    <cellStyle name="60% - 강조색2" xfId="24" builtinId="36" customBuiltin="1"/>
    <cellStyle name="60% - 강조색2 2" xfId="53" xr:uid="{77CC7BD7-7D97-4E84-A578-35E69020E178}"/>
    <cellStyle name="60% - 강조색2 3" xfId="73" xr:uid="{35F67425-E708-4CE4-851D-BEB5DB32D532}"/>
    <cellStyle name="60% - 강조색2 4" xfId="93" xr:uid="{46131337-C2A4-4935-B572-6DC437FAD7EA}"/>
    <cellStyle name="60% - 강조색2 5" xfId="115" xr:uid="{29B2CA66-C14A-4257-8AB9-C40AD0A84602}"/>
    <cellStyle name="60% - 강조색2 6" xfId="136" xr:uid="{DB5563D7-9DFF-46F1-96D3-168A92D8C298}"/>
    <cellStyle name="60% - 강조색2 7" xfId="169" xr:uid="{9E4325FF-12CD-45CD-9A3E-14F29B49298F}"/>
    <cellStyle name="60% - 강조색2 8" xfId="193" xr:uid="{791793F1-9076-438C-B8DB-526FDF4E7271}"/>
    <cellStyle name="60% - 강조색2 9" xfId="213" xr:uid="{C68641E2-9524-4FF5-804F-E164307FA181}"/>
    <cellStyle name="60% - 강조색3" xfId="28" builtinId="40" customBuiltin="1"/>
    <cellStyle name="60% - 강조색3 2" xfId="56" xr:uid="{754486C1-2390-4A3D-A519-D1439A729A29}"/>
    <cellStyle name="60% - 강조색3 3" xfId="76" xr:uid="{E6B0F1A5-FF06-41D8-A174-E37F8ED5FBCC}"/>
    <cellStyle name="60% - 강조색3 4" xfId="96" xr:uid="{63EE2354-3FEF-44AD-AC8D-F5CCEA2E65F9}"/>
    <cellStyle name="60% - 강조색3 5" xfId="118" xr:uid="{E8676911-9B0B-4903-A934-79227402AAB3}"/>
    <cellStyle name="60% - 강조색3 6" xfId="139" xr:uid="{37D363FB-366C-41B5-B517-4DB03E954708}"/>
    <cellStyle name="60% - 강조색3 7" xfId="173" xr:uid="{B59F96AC-E5DD-4B3C-9E0A-D06677855601}"/>
    <cellStyle name="60% - 강조색3 8" xfId="196" xr:uid="{83EE6811-E5BF-4656-92B5-DC03440C4CC4}"/>
    <cellStyle name="60% - 강조색3 9" xfId="216" xr:uid="{F87E8D4E-8014-4410-B4D0-228006FD0C56}"/>
    <cellStyle name="60% - 강조색4" xfId="32" builtinId="44" customBuiltin="1"/>
    <cellStyle name="60% - 강조색4 2" xfId="59" xr:uid="{7E5B15B6-6B3E-4F1C-8686-12F1AB43EB34}"/>
    <cellStyle name="60% - 강조색4 3" xfId="79" xr:uid="{34DF33C0-A517-4048-9DA4-79F1DCA55C48}"/>
    <cellStyle name="60% - 강조색4 4" xfId="99" xr:uid="{6080DB36-3619-44EB-B41A-8EEECFAC238D}"/>
    <cellStyle name="60% - 강조색4 5" xfId="121" xr:uid="{3F09AC47-1C6C-4774-86DB-A7DE097D9AF1}"/>
    <cellStyle name="60% - 강조색4 6" xfId="142" xr:uid="{652C4456-FDB2-4F86-8E7D-A2D798452122}"/>
    <cellStyle name="60% - 강조색4 7" xfId="177" xr:uid="{E4133AAD-A3EA-4A84-99A7-ACE9F5881FAE}"/>
    <cellStyle name="60% - 강조색4 8" xfId="199" xr:uid="{4BEA37CA-0489-4E6D-865B-13104350C2DC}"/>
    <cellStyle name="60% - 강조색4 9" xfId="219" xr:uid="{9CB97FC6-728F-464D-8115-D835FCB0A1E2}"/>
    <cellStyle name="60% - 강조색5" xfId="36" builtinId="48" customBuiltin="1"/>
    <cellStyle name="60% - 강조색5 2" xfId="62" xr:uid="{60FECAA9-2EAF-47DB-A4B3-93B97C1AA6D3}"/>
    <cellStyle name="60% - 강조색5 3" xfId="82" xr:uid="{FF997F61-894C-4399-897D-D63F901913E9}"/>
    <cellStyle name="60% - 강조색5 4" xfId="102" xr:uid="{976B24E3-9D63-46D3-B296-395DB531D08B}"/>
    <cellStyle name="60% - 강조색5 5" xfId="124" xr:uid="{EA9F059D-8C3C-4D1E-A37C-53550034F3CE}"/>
    <cellStyle name="60% - 강조색5 6" xfId="145" xr:uid="{1E05E737-73B5-4031-BA23-26CE35500133}"/>
    <cellStyle name="60% - 강조색5 7" xfId="181" xr:uid="{4196F1C8-D542-4C9B-B1C5-D6A0548F90B3}"/>
    <cellStyle name="60% - 강조색5 8" xfId="202" xr:uid="{857BF26C-4881-4895-80C0-4F8E7718EA2D}"/>
    <cellStyle name="60% - 강조색5 9" xfId="222" xr:uid="{FAF5BC6B-D6B6-42E7-A53A-49898AB98F4F}"/>
    <cellStyle name="60% - 강조색6" xfId="40" builtinId="52" customBuiltin="1"/>
    <cellStyle name="60% - 강조색6 2" xfId="65" xr:uid="{405BECA5-0661-46D2-88EB-68C99C47B02A}"/>
    <cellStyle name="60% - 강조색6 3" xfId="85" xr:uid="{C8AA05AC-685D-46C1-A2C2-5C9C5645795D}"/>
    <cellStyle name="60% - 강조색6 4" xfId="105" xr:uid="{58249FAE-1615-408A-AA47-60BD687476D2}"/>
    <cellStyle name="60% - 강조색6 5" xfId="127" xr:uid="{739BAAE2-48C1-48CC-989A-A3C9F86879B7}"/>
    <cellStyle name="60% - 강조색6 6" xfId="148" xr:uid="{B2B578FD-C72B-4784-8194-C8A247C42C0C}"/>
    <cellStyle name="60% - 강조색6 7" xfId="185" xr:uid="{56129A81-F13D-48C9-8BB6-1FCCDCE4BC25}"/>
    <cellStyle name="60% - 강조색6 8" xfId="205" xr:uid="{A41C68BB-BDB9-4169-8EEA-A1E3D8FB4208}"/>
    <cellStyle name="60% - 강조색6 9" xfId="225" xr:uid="{743DCACF-0F6E-4CD2-8BFC-44754A4ACCCF}"/>
    <cellStyle name="강조색1" xfId="17" builtinId="29" customBuiltin="1"/>
    <cellStyle name="강조색1 2" xfId="162" xr:uid="{AFA8016B-9AD4-432C-ACF1-D3D990456DE2}"/>
    <cellStyle name="강조색2" xfId="21" builtinId="33" customBuiltin="1"/>
    <cellStyle name="강조색2 2" xfId="166" xr:uid="{108AF5D0-A150-4C67-A41A-A19EB53AE1ED}"/>
    <cellStyle name="강조색3" xfId="25" builtinId="37" customBuiltin="1"/>
    <cellStyle name="강조색3 2" xfId="170" xr:uid="{B4D01BDC-0156-4BBE-91FA-146AD8F74FD7}"/>
    <cellStyle name="강조색4" xfId="29" builtinId="41" customBuiltin="1"/>
    <cellStyle name="강조색4 2" xfId="174" xr:uid="{0F429A3F-E74F-4406-AFB9-484BBBDB6106}"/>
    <cellStyle name="강조색5" xfId="33" builtinId="45" customBuiltin="1"/>
    <cellStyle name="강조색5 2" xfId="178" xr:uid="{0D7A6A0D-1701-4051-B0A0-FC0E911AA624}"/>
    <cellStyle name="강조색6" xfId="37" builtinId="49" customBuiltin="1"/>
    <cellStyle name="강조색6 2" xfId="182" xr:uid="{980217AC-40EC-4DDB-A104-688FFF361DDE}"/>
    <cellStyle name="경고문" xfId="14" builtinId="11" customBuiltin="1"/>
    <cellStyle name="경고문 2" xfId="159" xr:uid="{500C0395-1F04-4EE3-A75D-6D4974AE5DA2}"/>
    <cellStyle name="계산" xfId="11" builtinId="22" customBuiltin="1"/>
    <cellStyle name="계산 2" xfId="156" xr:uid="{2391C751-1DB7-48E8-9C92-C73F22488819}"/>
    <cellStyle name="나쁨" xfId="7" builtinId="27" customBuiltin="1"/>
    <cellStyle name="나쁨 2" xfId="152" xr:uid="{2F7DC889-CE50-4015-AEAA-DB2B939324BE}"/>
    <cellStyle name="메모" xfId="150" builtinId="10" customBuiltin="1"/>
    <cellStyle name="메모 2" xfId="42" xr:uid="{549D4CB1-AABF-4112-9934-A82E06AA2E3B}"/>
    <cellStyle name="메모 3" xfId="47" xr:uid="{E51F5035-8162-4A67-950D-91ECF567B07E}"/>
    <cellStyle name="메모 4" xfId="67" xr:uid="{C1AC9296-E03C-465E-884E-567E6E2B8D48}"/>
    <cellStyle name="메모 5" xfId="87" xr:uid="{4A0342A1-5F40-487E-93C7-1673FE52CE8F}"/>
    <cellStyle name="메모 6" xfId="109" xr:uid="{5DE52349-B9CE-4FD7-B9B8-2124EE5EF098}"/>
    <cellStyle name="메모 7" xfId="130" xr:uid="{59DCBF59-4D07-4DF0-ADE6-799351786E79}"/>
    <cellStyle name="메모 8" xfId="187" xr:uid="{4C5BA33F-FECB-4BAC-A315-56A22D84475E}"/>
    <cellStyle name="메모 9" xfId="207" xr:uid="{D37B2404-616E-42CF-AA77-79C8669FC50A}"/>
    <cellStyle name="백분율" xfId="44" builtinId="5"/>
    <cellStyle name="보통" xfId="8" builtinId="28" customBuiltin="1"/>
    <cellStyle name="보통 2" xfId="153" xr:uid="{63356D32-FE02-44C8-BEED-EA17452ADA74}"/>
    <cellStyle name="설명 텍스트" xfId="15" builtinId="53" customBuiltin="1"/>
    <cellStyle name="설명 텍스트 2" xfId="160" xr:uid="{B413A45F-1E19-4A2C-B7BC-6B4B3AA90274}"/>
    <cellStyle name="셀 확인" xfId="13" builtinId="23" customBuiltin="1"/>
    <cellStyle name="셀 확인 2" xfId="158" xr:uid="{2D0941DC-61A0-4A20-AD3B-606EC5C26C12}"/>
    <cellStyle name="쉼표 [0]" xfId="43" builtinId="6"/>
    <cellStyle name="연결된 셀" xfId="12" builtinId="24" customBuiltin="1"/>
    <cellStyle name="연결된 셀 2" xfId="157" xr:uid="{C1E74D2F-CECA-49B7-A36B-EACBE4F7106E}"/>
    <cellStyle name="요약" xfId="16" builtinId="25" customBuiltin="1"/>
    <cellStyle name="요약 2" xfId="161" xr:uid="{77E6C256-EF81-45A7-B386-B9D045468A7B}"/>
    <cellStyle name="입력" xfId="9" builtinId="20" customBuiltin="1"/>
    <cellStyle name="입력 2" xfId="154" xr:uid="{8A095314-221F-4673-B8BE-FCB17DABB127}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좋음 2" xfId="151" xr:uid="{88955EC8-0E1E-4956-8E1C-8538792FA01C}"/>
    <cellStyle name="출력" xfId="10" builtinId="21" customBuiltin="1"/>
    <cellStyle name="출력 2" xfId="155" xr:uid="{F6EBD9D8-E9CB-40FB-944A-1172A6E6F48C}"/>
    <cellStyle name="표준" xfId="0" builtinId="0"/>
    <cellStyle name="표준 10" xfId="128" xr:uid="{F341EF96-DDB3-4211-B438-036B7D587F53}"/>
    <cellStyle name="표준 11" xfId="129" xr:uid="{00E198AB-F513-4262-A74A-FF4FF32D9A56}"/>
    <cellStyle name="표준 12" xfId="149" xr:uid="{E5D2A256-DDD2-4872-9C3D-7514D281623B}"/>
    <cellStyle name="표준 13" xfId="186" xr:uid="{30BFE830-0FAE-4AA9-9B07-2EB019FA249B}"/>
    <cellStyle name="표준 14" xfId="206" xr:uid="{37CDD07F-7E44-4787-8227-2D236D1502DC}"/>
    <cellStyle name="표준 15" xfId="226" xr:uid="{097DA2A0-E16D-4333-AFAF-02FEAEF01D32}"/>
    <cellStyle name="표준 16" xfId="227" xr:uid="{CF5FA0B1-F4C1-4FD2-9046-75E6F5C001AC}"/>
    <cellStyle name="표준 2" xfId="41" xr:uid="{73DAB1E9-87E6-423F-A244-584471F21938}"/>
    <cellStyle name="표준 3" xfId="45" xr:uid="{D155A02F-8DAD-4C08-9097-992FAE0770AF}"/>
    <cellStyle name="표준 4" xfId="46" xr:uid="{A8A84C09-6A17-4E87-9193-8B5E41F72102}"/>
    <cellStyle name="표준 5" xfId="66" xr:uid="{5AAFFF21-3E32-4ECF-853C-441284412D12}"/>
    <cellStyle name="표준 6" xfId="86" xr:uid="{DD2D3C6A-B697-494B-8B2E-4C3BFCFF8572}"/>
    <cellStyle name="표준 7" xfId="106" xr:uid="{78F37326-1F33-44A4-BDB6-509248D3486C}"/>
    <cellStyle name="표준 8" xfId="107" xr:uid="{4157812D-FE0C-4780-8995-564660C8DE76}"/>
    <cellStyle name="표준 9" xfId="108" xr:uid="{F7600376-F61E-4D86-B25A-A642B3DD9253}"/>
  </cellStyles>
  <dxfs count="8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161925</xdr:colOff>
      <xdr:row>9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BA67658C-13BE-C3FB-F54A-99C3EBA2604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19050</xdr:colOff>
      <xdr:row>32</xdr:row>
      <xdr:rowOff>0</xdr:rowOff>
    </xdr:to>
    <xdr:sp macro="" textlink="">
      <xdr:nvSpPr>
        <xdr:cNvPr id="4" name="AutoShape 1" hidden="1">
          <a:extLst>
            <a:ext uri="{FF2B5EF4-FFF2-40B4-BE49-F238E27FC236}">
              <a16:creationId xmlns:a16="http://schemas.microsoft.com/office/drawing/2014/main" id="{BA67658C-13BE-C3FB-F54A-99C3EBA2604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457200</xdr:colOff>
      <xdr:row>12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BCA73903-CEF5-B467-8405-8B41E4F19166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371475</xdr:colOff>
      <xdr:row>12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80426682-F034-7EDF-FE48-270442B6BF8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15951A-376E-4E8B-8A53-EB049D48D51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f96e1d5-aeea-4016-9709-e9617f16d9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862F-0E15-4EF3-BE35-91D27B954FBB}">
  <sheetPr>
    <pageSetUpPr fitToPage="1"/>
  </sheetPr>
  <dimension ref="A1:Y98"/>
  <sheetViews>
    <sheetView tabSelected="1" zoomScale="85" zoomScaleNormal="85" workbookViewId="0">
      <pane ySplit="6" topLeftCell="A55" activePane="bottomLeft" state="frozen"/>
      <selection pane="bottomLeft" activeCell="F77" sqref="F77"/>
    </sheetView>
  </sheetViews>
  <sheetFormatPr defaultColWidth="8.85546875" defaultRowHeight="13.5"/>
  <cols>
    <col min="1" max="1" width="5.7109375" style="57" customWidth="1"/>
    <col min="2" max="2" width="8.7109375" customWidth="1"/>
    <col min="3" max="3" width="10.7109375" customWidth="1"/>
    <col min="4" max="4" width="30.7109375" customWidth="1"/>
    <col min="5" max="5" width="9.7109375" style="1" customWidth="1"/>
    <col min="6" max="6" width="11.7109375" customWidth="1"/>
    <col min="7" max="7" width="8.7109375" customWidth="1"/>
    <col min="8" max="8" width="10.7109375" customWidth="1"/>
    <col min="9" max="9" width="8.7109375" customWidth="1"/>
    <col min="10" max="10" width="11.7109375" customWidth="1"/>
    <col min="11" max="11" width="8.7109375" customWidth="1"/>
    <col min="12" max="12" width="10.7109375" customWidth="1"/>
    <col min="13" max="13" width="8.7109375" customWidth="1"/>
    <col min="14" max="14" width="11.7109375" customWidth="1"/>
    <col min="15" max="15" width="8.7109375" customWidth="1"/>
    <col min="16" max="16" width="10.7109375" customWidth="1"/>
    <col min="17" max="17" width="8.7109375" customWidth="1"/>
    <col min="18" max="18" width="25.7109375" style="20" customWidth="1"/>
    <col min="19" max="19" width="11.7109375" customWidth="1"/>
    <col min="20" max="20" width="25.7109375" customWidth="1"/>
    <col min="21" max="23" width="13.7109375" customWidth="1"/>
    <col min="24" max="24" width="10.7109375" customWidth="1"/>
  </cols>
  <sheetData>
    <row r="1" spans="1:25" ht="30" customHeight="1">
      <c r="A1" s="5" t="s">
        <v>116</v>
      </c>
      <c r="B1" s="4"/>
      <c r="C1" s="4"/>
      <c r="D1" s="46" t="s">
        <v>262</v>
      </c>
      <c r="E1" s="17"/>
      <c r="F1" s="87">
        <f>VLOOKUP("300019", 아이타스41718_편드편입비정보!$C:$AX, 8, FALSE)/100000000</f>
        <v>243.05121861000001</v>
      </c>
      <c r="G1" s="15"/>
      <c r="H1" s="16"/>
      <c r="I1" s="16"/>
      <c r="J1" s="87">
        <f>VLOOKUP("300037", 아이타스41718_편드편입비정보!$C:$AX, 8, FALSE)/100000000</f>
        <v>202.73651348000001</v>
      </c>
      <c r="K1" s="90"/>
      <c r="L1" s="90"/>
      <c r="M1" s="15"/>
      <c r="N1" s="87">
        <f>VLOOKUP("300085", 아이타스41718_편드편입비정보!$C:$AX, 8, FALSE)/100000000</f>
        <v>219.30791051</v>
      </c>
      <c r="O1" s="91"/>
      <c r="P1" s="91"/>
      <c r="Q1" s="17"/>
      <c r="R1" s="163" t="s">
        <v>183</v>
      </c>
      <c r="S1" s="47" t="s">
        <v>182</v>
      </c>
      <c r="T1" s="47" t="s">
        <v>25</v>
      </c>
      <c r="U1" s="47" t="s">
        <v>180</v>
      </c>
      <c r="V1" s="47" t="s">
        <v>179</v>
      </c>
      <c r="W1" s="47" t="s">
        <v>185</v>
      </c>
      <c r="X1" s="47" t="s">
        <v>167</v>
      </c>
    </row>
    <row r="2" spans="1:25" ht="20.100000000000001" customHeight="1">
      <c r="A2" s="99" t="s">
        <v>192</v>
      </c>
      <c r="B2" s="4"/>
      <c r="C2" s="4"/>
      <c r="D2" s="46" t="s">
        <v>261</v>
      </c>
      <c r="E2" s="17"/>
      <c r="F2" s="87">
        <f>VLOOKUP("300019", 아이타스41718_편드편입비정보!$C:$AX, 16, FALSE)/100000000</f>
        <v>129.08885000000001</v>
      </c>
      <c r="G2" s="17"/>
      <c r="H2" s="18"/>
      <c r="I2" s="18"/>
      <c r="J2" s="87">
        <f>VLOOKUP("300037", 아이타스41718_편드편입비정보!$C:$AX, 16, FALSE)/100000000</f>
        <v>85.965885</v>
      </c>
      <c r="K2" s="91"/>
      <c r="L2" s="91"/>
      <c r="M2" s="17"/>
      <c r="N2" s="87">
        <f>VLOOKUP("300085", 아이타스41718_편드편입비정보!$C:$AX, 16, FALSE)/100000000</f>
        <v>115.3781</v>
      </c>
      <c r="O2" s="91"/>
      <c r="P2" s="91"/>
      <c r="Q2" s="17"/>
      <c r="R2" s="164"/>
      <c r="S2" s="97">
        <v>0.02</v>
      </c>
      <c r="T2" s="95" t="s">
        <v>11</v>
      </c>
      <c r="U2" s="48">
        <f>IF(OR($S$2="",$T$2="",$X$2="",$X$2=0),"",ROUND($S$2*F4*100000000/$X$2,0))</f>
        <v>246</v>
      </c>
      <c r="V2" s="48">
        <f>IF(OR($S$2="",$T$2="",$X$2="",$X$2=0),"",ROUND($S$2*J4*100000000/$X$2,0))</f>
        <v>241</v>
      </c>
      <c r="W2" s="48">
        <f>IF(OR($S$2="",$T$2="",$X$2="",$X$2=0),"",ROUND($S$2*N4*100000000/$X$2,0))</f>
        <v>240</v>
      </c>
      <c r="X2" s="96">
        <v>130000</v>
      </c>
    </row>
    <row r="3" spans="1:25" ht="20.100000000000001" customHeight="1">
      <c r="A3" s="49">
        <f>COUNT(A7:A75)</f>
        <v>29</v>
      </c>
      <c r="B3" s="100" t="s">
        <v>181</v>
      </c>
      <c r="C3" s="84">
        <f>B83</f>
        <v>1.0960000000000001</v>
      </c>
      <c r="D3" s="46" t="s">
        <v>247</v>
      </c>
      <c r="E3" s="17"/>
      <c r="F3" s="87">
        <f>F1-F2-F82</f>
        <v>106.38836861</v>
      </c>
      <c r="G3" s="17"/>
      <c r="H3" s="98" t="s">
        <v>263</v>
      </c>
      <c r="I3" s="18"/>
      <c r="J3" s="87">
        <f>J1-J2-J82</f>
        <v>104.34101908000001</v>
      </c>
      <c r="K3" s="91"/>
      <c r="L3" s="98" t="s">
        <v>263</v>
      </c>
      <c r="M3" s="17"/>
      <c r="N3" s="87">
        <f>N1-N2-N82</f>
        <v>103.92981051</v>
      </c>
      <c r="O3" s="91"/>
      <c r="P3" s="98" t="s">
        <v>263</v>
      </c>
      <c r="Q3" s="17"/>
      <c r="R3"/>
      <c r="S3" s="36" t="s">
        <v>184</v>
      </c>
      <c r="X3" s="60">
        <f>IF($T$2="","",IFERROR(INDEX(인컴2!L:L,MATCH($T$2,인컴2!E:E,0)),IFERROR(INDEX(블루1!L:L,MATCH($T$2,블루1!E:E,0)),IFERROR(INDEX(블루3!L:L,MATCH($T$2,블루3!E:E,0)),""))))</f>
        <v>224490</v>
      </c>
      <c r="Y3" t="s">
        <v>187</v>
      </c>
    </row>
    <row r="4" spans="1:25" ht="20.100000000000001" customHeight="1" thickBot="1">
      <c r="A4" s="3"/>
      <c r="B4" s="4"/>
      <c r="C4" s="4"/>
      <c r="D4" s="46" t="s">
        <v>293</v>
      </c>
      <c r="E4" s="6">
        <v>0.15</v>
      </c>
      <c r="F4" s="87">
        <f>F3*($E$4)</f>
        <v>15.958255291499999</v>
      </c>
      <c r="G4" s="88">
        <f>F83</f>
        <v>79.732155199999994</v>
      </c>
      <c r="H4" s="89">
        <f>(F3-G4)/F3</f>
        <v>0.25055571166540519</v>
      </c>
      <c r="I4" s="18"/>
      <c r="J4" s="87">
        <f>J3*($E$4)</f>
        <v>15.651152862</v>
      </c>
      <c r="K4" s="88">
        <f>J83</f>
        <v>82.037610700000002</v>
      </c>
      <c r="L4" s="89">
        <f>(J3-K4)/J3</f>
        <v>0.21375494102563453</v>
      </c>
      <c r="M4" s="17"/>
      <c r="N4" s="87">
        <f>N3*($E$4)</f>
        <v>15.589471576499999</v>
      </c>
      <c r="O4" s="88">
        <f>N83</f>
        <v>78.669492399999996</v>
      </c>
      <c r="P4" s="89">
        <f>(N3-O4)/N3</f>
        <v>0.243051709476267</v>
      </c>
      <c r="Q4" s="17"/>
      <c r="R4" s="19"/>
      <c r="S4" s="4"/>
    </row>
    <row r="5" spans="1:25" ht="24.95" customHeight="1">
      <c r="A5" s="165" t="s">
        <v>115</v>
      </c>
      <c r="B5" s="167" t="s">
        <v>249</v>
      </c>
      <c r="C5" s="169" t="s">
        <v>250</v>
      </c>
      <c r="D5" s="167" t="s">
        <v>251</v>
      </c>
      <c r="E5" s="171" t="s">
        <v>252</v>
      </c>
      <c r="F5" s="159" t="s">
        <v>248</v>
      </c>
      <c r="G5" s="160"/>
      <c r="H5" s="160"/>
      <c r="I5" s="161"/>
      <c r="J5" s="162" t="s">
        <v>256</v>
      </c>
      <c r="K5" s="160"/>
      <c r="L5" s="160"/>
      <c r="M5" s="161"/>
      <c r="N5" s="162" t="s">
        <v>257</v>
      </c>
      <c r="O5" s="160"/>
      <c r="P5" s="160"/>
      <c r="Q5" s="161"/>
      <c r="R5" s="157" t="s">
        <v>260</v>
      </c>
      <c r="S5" s="155" t="s">
        <v>253</v>
      </c>
    </row>
    <row r="6" spans="1:25" ht="20.100000000000001" customHeight="1">
      <c r="A6" s="166"/>
      <c r="B6" s="168"/>
      <c r="C6" s="170"/>
      <c r="D6" s="168"/>
      <c r="E6" s="172"/>
      <c r="F6" s="86" t="s">
        <v>254</v>
      </c>
      <c r="G6" s="59" t="s">
        <v>255</v>
      </c>
      <c r="H6" s="92" t="s">
        <v>258</v>
      </c>
      <c r="I6" s="85" t="s">
        <v>259</v>
      </c>
      <c r="J6" s="86" t="s">
        <v>254</v>
      </c>
      <c r="K6" s="59" t="s">
        <v>255</v>
      </c>
      <c r="L6" s="92" t="s">
        <v>258</v>
      </c>
      <c r="M6" s="85" t="s">
        <v>259</v>
      </c>
      <c r="N6" s="86" t="s">
        <v>254</v>
      </c>
      <c r="O6" s="59" t="s">
        <v>255</v>
      </c>
      <c r="P6" s="92" t="s">
        <v>258</v>
      </c>
      <c r="Q6" s="85" t="s">
        <v>259</v>
      </c>
      <c r="R6" s="158"/>
      <c r="S6" s="156"/>
      <c r="U6" s="154" t="s">
        <v>168</v>
      </c>
      <c r="V6" s="154"/>
    </row>
    <row r="7" spans="1:25" ht="18" customHeight="1">
      <c r="A7" s="50">
        <v>1</v>
      </c>
      <c r="B7" s="81" t="s">
        <v>289</v>
      </c>
      <c r="C7" s="25" t="s">
        <v>212</v>
      </c>
      <c r="D7" s="28" t="str">
        <f>IF(R7="","",IFERROR(INDEX(인컴2!E:E,MATCH(R7,인컴2!E:E,0)),IFERROR(INDEX(블루1!E:E,MATCH(R7,블루1!E:E,0)),IFERROR(INDEX(블루3!E:E,MATCH(R7,블루3!E:E,0)),R7))))</f>
        <v>RISE 네트워크인프라</v>
      </c>
      <c r="E7" s="42">
        <v>0.15</v>
      </c>
      <c r="F7" s="63">
        <f>IF(D7="","",SUMIF(인컴2!E:E,D7,인컴2!N:N)/100000000)</f>
        <v>11.30355</v>
      </c>
      <c r="G7" s="62">
        <f>IFERROR(F7/$G$4, "")</f>
        <v>0.14176902620587886</v>
      </c>
      <c r="H7" s="61">
        <f>IFERROR(($E7-G7)*G$4*100000000/$S7, "")</f>
        <v>783.79706198495035</v>
      </c>
      <c r="I7" s="64">
        <f>IFERROR(INDEX(인컴2!Q:Q,MATCH(D7,인컴2!E:E,0))/100,"")</f>
        <v>0.42799999999999999</v>
      </c>
      <c r="J7" s="63">
        <f>IF(D7="","",SUMIF(블루1!E:E,D7,블루1!N:N)/100000000)</f>
        <v>11.30355</v>
      </c>
      <c r="K7" s="62">
        <f>IFERROR(J7/K$4, "")</f>
        <v>0.13778497330127631</v>
      </c>
      <c r="L7" s="61">
        <f>IFERROR(($E7-K7)*K$4*100000000/$S7, "")</f>
        <v>1196.8130956646357</v>
      </c>
      <c r="M7" s="64">
        <f>IFERROR(INDEX(블루1!Q:Q,MATCH(D7,블루1!E:E,0))/100,"")</f>
        <v>0.42799999999999999</v>
      </c>
      <c r="N7" s="63">
        <f>IF(D7="","",SUMIF(블루3!E:E,D7,블루3!N:N)/100000000)</f>
        <v>11.30355</v>
      </c>
      <c r="O7" s="62">
        <f>IFERROR(N7/O$4, "")</f>
        <v>0.14368403373605598</v>
      </c>
      <c r="P7" s="61">
        <f>IFERROR(($E7-O7)*O$4*100000000/$S7, "")</f>
        <v>593.42393407380837</v>
      </c>
      <c r="Q7" s="64">
        <f>IFERROR(INDEX(블루3!Q:Q,MATCH(D7,블루3!E:E,0))/100,"")</f>
        <v>0.42799999999999999</v>
      </c>
      <c r="R7" s="69" t="s">
        <v>215</v>
      </c>
      <c r="S7" s="7">
        <f>IFERROR(INDEX(인컴2!$E$1:$Q$51, MATCH(R7, 인컴2!E:E, 0), 8), "")</f>
        <v>83730</v>
      </c>
      <c r="U7" t="str" cm="1">
        <f t="array" ref="U7:U18">_xlfn.LET(_xlpm.a,_xlfn._xlws.FILTER(인컴2!E$3:E$451,인컴2!E$3:E$451&lt;&gt;""),_xlpm.b,_xlfn._xlws.FILTER(블루1!E$3:E$471,블루1!E$3:E$471&lt;&gt;""),_xlpm.c,_xlfn._xlws.FILTER(블루3!E$3:E$471,블루3!E$3:E$471&lt;&gt;""),_xlpm.all,_xlfn.UNIQUE(_xlfn.VSTACK(_xlpm.a,_xlpm.b,_xlpm.c)),IFERROR(_xlfn._xlws.SORT(_xlfn._xlws.FILTER(_xlpm.all,COUNTIF($D$7:$D$81,_xlpm.all)=0)),"누락 종목 없음"))</f>
        <v>SOL 초단기채권액티브</v>
      </c>
    </row>
    <row r="8" spans="1:25" ht="18" customHeight="1">
      <c r="A8" s="50">
        <v>2</v>
      </c>
      <c r="B8" s="40">
        <f>SUM(E7:E19)</f>
        <v>0.39800000000000002</v>
      </c>
      <c r="C8" s="22" t="s">
        <v>292</v>
      </c>
      <c r="D8" s="28" t="str">
        <f>IF(R8="","",IFERROR(INDEX(인컴2!E:E,MATCH(R8,인컴2!E:E,0)),IFERROR(INDEX(블루1!E:E,MATCH(R8,블루1!E:E,0)),IFERROR(INDEX(블루3!E:E,MATCH(R8,블루3!E:E,0)),R8))))</f>
        <v>TIME 차이나AI테크액티브</v>
      </c>
      <c r="E8" s="42">
        <v>0.03</v>
      </c>
      <c r="F8" s="63">
        <f>IF(D8="","",SUMIF(인컴2!E:E,D8,인컴2!N:N)/100000000)</f>
        <v>2.4874999999999998</v>
      </c>
      <c r="G8" s="62">
        <f t="shared" ref="G8:G19" si="0">IFERROR(F8/$G$4, "")</f>
        <v>3.1198203457066465E-2</v>
      </c>
      <c r="H8" s="61">
        <f t="shared" ref="H8:H19" si="1">IFERROR(($E8-G8)*G$4*100000000/$S8, "")</f>
        <v>-384.06168442211066</v>
      </c>
      <c r="I8" s="64">
        <f>IFERROR(INDEX(인컴2!Q:Q,MATCH(D8,인컴2!E:E,0))/100,"")</f>
        <v>0.45219999999999999</v>
      </c>
      <c r="J8" s="63">
        <f>IF(D8="","",SUMIF(블루1!E:E,D8,블루1!N:N)/100000000)</f>
        <v>1.99</v>
      </c>
      <c r="K8" s="62">
        <f t="shared" ref="K8:K19" si="2">IFERROR(J8/K$4, "")</f>
        <v>2.4257166719264291E-2</v>
      </c>
      <c r="L8" s="61">
        <f t="shared" ref="L8:L19" si="3">IFERROR(($E8-K8)*K$4*100000000/$S8, "")</f>
        <v>1893.9831999999994</v>
      </c>
      <c r="M8" s="64">
        <f>IFERROR(INDEX(블루1!Q:Q,MATCH(D8,블루1!E:E,0))/100,"")</f>
        <v>0.29089999999999999</v>
      </c>
      <c r="N8" s="63">
        <f>IF(D8="","",SUMIF(블루3!E:E,D8,블루3!N:N)/100000000)</f>
        <v>1.99</v>
      </c>
      <c r="O8" s="62">
        <f t="shared" ref="O8:O19" si="4">IFERROR(N8/O$4, "")</f>
        <v>2.5295701539317421E-2</v>
      </c>
      <c r="P8" s="61">
        <f t="shared" ref="P8:P19" si="5">IFERROR(($E8-O8)*O$4*100000000/$S8, "")</f>
        <v>1487.7779778894462</v>
      </c>
      <c r="Q8" s="64">
        <f>IFERROR(INDEX(블루3!Q:Q,MATCH(D8,블루3!E:E,0))/100,"")</f>
        <v>0.28899999999999998</v>
      </c>
      <c r="R8" s="69" t="s">
        <v>216</v>
      </c>
      <c r="S8" s="7">
        <f>IFERROR(INDEX(인컴2!$E$1:$Q$51, MATCH(R8, 인컴2!E:E, 0), 8), "")</f>
        <v>24875</v>
      </c>
      <c r="U8" t="str">
        <v>대신밸런스제20호기업인수목적공모주(보)</v>
      </c>
    </row>
    <row r="9" spans="1:25" ht="18" customHeight="1">
      <c r="A9" s="50"/>
      <c r="B9" s="33"/>
      <c r="C9" s="22"/>
      <c r="D9" s="28" t="str">
        <f>IF(R9="","",IFERROR(INDEX(인컴2!E:E,MATCH(R9,인컴2!E:E,0)),IFERROR(INDEX(블루1!E:E,MATCH(R9,블루1!E:E,0)),IFERROR(INDEX(블루3!E:E,MATCH(R9,블루3!E:E,0)),R9))))</f>
        <v/>
      </c>
      <c r="E9" s="42"/>
      <c r="F9" s="63" t="str">
        <f>IF(D9="","",SUMIF(인컴2!E:E,D9,인컴2!N:N)/100000000)</f>
        <v/>
      </c>
      <c r="G9" s="62" t="str">
        <f t="shared" si="0"/>
        <v/>
      </c>
      <c r="H9" s="61" t="str">
        <f t="shared" si="1"/>
        <v/>
      </c>
      <c r="I9" s="64" t="str">
        <f>IFERROR(INDEX(인컴2!Q:Q,MATCH(D9,인컴2!E:E,0))/100,"")</f>
        <v/>
      </c>
      <c r="J9" s="63" t="str">
        <f>IF(D9="","",SUMIF(블루1!E:E,D9,블루1!N:N)/100000000)</f>
        <v/>
      </c>
      <c r="K9" s="62" t="str">
        <f t="shared" si="2"/>
        <v/>
      </c>
      <c r="L9" s="61" t="str">
        <f t="shared" si="3"/>
        <v/>
      </c>
      <c r="M9" s="64" t="str">
        <f>IFERROR(INDEX(블루1!Q:Q,MATCH(D9,블루1!E:E,0))/100,"")</f>
        <v/>
      </c>
      <c r="N9" s="63" t="str">
        <f>IF(D9="","",SUMIF(블루3!E:E,D9,블루3!N:N)/100000000)</f>
        <v/>
      </c>
      <c r="O9" s="62" t="str">
        <f t="shared" si="4"/>
        <v/>
      </c>
      <c r="P9" s="61" t="str">
        <f t="shared" si="5"/>
        <v/>
      </c>
      <c r="Q9" s="64" t="str">
        <f>IFERROR(INDEX(블루3!Q:Q,MATCH(D9,블루3!E:E,0))/100,"")</f>
        <v/>
      </c>
      <c r="R9" s="69"/>
      <c r="S9" s="7" t="str">
        <f>IFERROR(INDEX(인컴2!$E$1:$Q$51, MATCH(R9, 인컴2!E:E, 0), 8), "")</f>
        <v/>
      </c>
      <c r="U9" t="str">
        <v>리센스메디컬</v>
      </c>
    </row>
    <row r="10" spans="1:25" ht="18" customHeight="1">
      <c r="A10" s="50">
        <v>4</v>
      </c>
      <c r="B10" s="34"/>
      <c r="C10" s="22" t="s">
        <v>171</v>
      </c>
      <c r="D10" s="28" t="str">
        <f>IF(R10="","",IFERROR(INDEX(인컴2!E:E,MATCH(R10,인컴2!E:E,0)),IFERROR(INDEX(블루1!E:E,MATCH(R10,블루1!E:E,0)),IFERROR(INDEX(블루3!E:E,MATCH(R10,블루3!E:E,0)),R10))))</f>
        <v>싸이맥스</v>
      </c>
      <c r="E10" s="42">
        <v>0.04</v>
      </c>
      <c r="F10" s="63">
        <f>IF(D10="","",SUMIF(인컴2!E:E,D10,인컴2!N:N)/100000000)</f>
        <v>3.01</v>
      </c>
      <c r="G10" s="62">
        <f t="shared" si="0"/>
        <v>3.7751393931967865E-2</v>
      </c>
      <c r="H10" s="61">
        <f t="shared" si="1"/>
        <v>595.63524252491686</v>
      </c>
      <c r="I10" s="64">
        <f>IFERROR(INDEX(인컴2!Q:Q,MATCH(D10,인컴2!E:E,0))/100,"")</f>
        <v>-0.1338</v>
      </c>
      <c r="J10" s="63">
        <f>IF(D10="","",SUMIF(블루1!E:E,D10,블루1!N:N)/100000000)</f>
        <v>3.01</v>
      </c>
      <c r="K10" s="62">
        <f t="shared" si="2"/>
        <v>3.669048835426407E-2</v>
      </c>
      <c r="L10" s="61">
        <f t="shared" si="3"/>
        <v>902.00806644518491</v>
      </c>
      <c r="M10" s="64">
        <f>IFERROR(INDEX(블루1!Q:Q,MATCH(D10,블루1!E:E,0))/100,"")</f>
        <v>-0.13390000000000002</v>
      </c>
      <c r="N10" s="63">
        <f>IF(D10="","",SUMIF(블루3!E:E,D10,블루3!N:N)/100000000)</f>
        <v>3.01</v>
      </c>
      <c r="O10" s="62">
        <f t="shared" si="4"/>
        <v>3.8261337504193686E-2</v>
      </c>
      <c r="P10" s="61">
        <f t="shared" si="5"/>
        <v>454.41759468438505</v>
      </c>
      <c r="Q10" s="64">
        <f>IFERROR(INDEX(블루3!Q:Q,MATCH(D10,블루3!E:E,0))/100,"")</f>
        <v>-0.13390000000000002</v>
      </c>
      <c r="R10" s="69" t="s">
        <v>268</v>
      </c>
      <c r="S10" s="7">
        <f>IFERROR(INDEX(인컴2!$E$1:$Q$51, MATCH(R10, 인컴2!E:E, 0), 8), "")</f>
        <v>30100</v>
      </c>
      <c r="U10" t="str">
        <v>메쥬</v>
      </c>
    </row>
    <row r="11" spans="1:25" ht="18" customHeight="1">
      <c r="A11" s="50">
        <v>5</v>
      </c>
      <c r="B11" s="34"/>
      <c r="C11" s="22" t="s">
        <v>171</v>
      </c>
      <c r="D11" s="28" t="str">
        <f>IF(R11="","",IFERROR(INDEX(인컴2!E:E,MATCH(R11,인컴2!E:E,0)),IFERROR(INDEX(블루1!E:E,MATCH(R11,블루1!E:E,0)),IFERROR(INDEX(블루3!E:E,MATCH(R11,블루3!E:E,0)),R11))))</f>
        <v>DB하이텍</v>
      </c>
      <c r="E11" s="42">
        <v>0.03</v>
      </c>
      <c r="F11" s="63">
        <f>IF(D11="","",SUMIF(인컴2!E:E,D11,인컴2!N:N)/100000000)</f>
        <v>1.7010000000000001</v>
      </c>
      <c r="G11" s="62">
        <f t="shared" si="0"/>
        <v>2.1333927268530679E-2</v>
      </c>
      <c r="H11" s="61">
        <f t="shared" si="1"/>
        <v>406.21085008818324</v>
      </c>
      <c r="I11" s="64">
        <f>IFERROR(INDEX(인컴2!Q:Q,MATCH(D11,인컴2!E:E,0))/100,"")</f>
        <v>-9.8299999999999998E-2</v>
      </c>
      <c r="J11" s="63">
        <f>IF(D11="","",SUMIF(블루1!E:E,D11,블루1!N:N)/100000000)</f>
        <v>1.7010000000000001</v>
      </c>
      <c r="K11" s="62">
        <f t="shared" si="2"/>
        <v>2.0734392256014349E-2</v>
      </c>
      <c r="L11" s="61">
        <f t="shared" si="3"/>
        <v>446.87144091710763</v>
      </c>
      <c r="M11" s="64">
        <f>IFERROR(INDEX(블루1!Q:Q,MATCH(D11,블루1!E:E,0))/100,"")</f>
        <v>-9.8299999999999998E-2</v>
      </c>
      <c r="N11" s="63">
        <f>IF(D11="","",SUMIF(블루3!E:E,D11,블루3!N:N)/100000000)</f>
        <v>1.7010000000000001</v>
      </c>
      <c r="O11" s="62">
        <f t="shared" si="4"/>
        <v>2.1622104682602478E-2</v>
      </c>
      <c r="P11" s="61">
        <f t="shared" si="5"/>
        <v>387.4690017636683</v>
      </c>
      <c r="Q11" s="64">
        <f>IFERROR(INDEX(블루3!Q:Q,MATCH(D11,블루3!E:E,0))/100,"")</f>
        <v>-9.8299999999999998E-2</v>
      </c>
      <c r="R11" s="69" t="s">
        <v>274</v>
      </c>
      <c r="S11" s="7">
        <f>IFERROR(INDEX(인컴2!$E$1:$Q$51, MATCH(R11, 인컴2!E:E, 0), 8), "")</f>
        <v>170100</v>
      </c>
      <c r="U11" t="str">
        <v>아이엠바이오로직스</v>
      </c>
    </row>
    <row r="12" spans="1:25" ht="18" customHeight="1">
      <c r="A12" s="50">
        <v>6</v>
      </c>
      <c r="B12" s="35"/>
      <c r="C12" s="22" t="s">
        <v>171</v>
      </c>
      <c r="D12" s="28" t="str">
        <f>IF(R12="","",IFERROR(INDEX(인컴2!E:E,MATCH(R12,인컴2!E:E,0)),IFERROR(INDEX(블루1!E:E,MATCH(R12,블루1!E:E,0)),IFERROR(INDEX(블루3!E:E,MATCH(R12,블루3!E:E,0)),R12))))</f>
        <v>대덕전자</v>
      </c>
      <c r="E12" s="42">
        <v>0.03</v>
      </c>
      <c r="F12" s="63">
        <f>IF(D12="","",SUMIF(인컴2!E:E,D12,인컴2!N:N)/100000000)</f>
        <v>1.575</v>
      </c>
      <c r="G12" s="62">
        <f t="shared" ref="G12:G14" si="6">IFERROR(F12/$G$4, "")</f>
        <v>1.9753636359750627E-2</v>
      </c>
      <c r="H12" s="61">
        <f t="shared" ref="H12:H14" si="7">IFERROR(($E12-G12)*G$4*100000000/$S12, "")</f>
        <v>518.70771809523808</v>
      </c>
      <c r="I12" s="64">
        <f>IFERROR(INDEX(인컴2!Q:Q,MATCH(D12,인컴2!E:E,0))/100,"")</f>
        <v>-0.1094</v>
      </c>
      <c r="J12" s="63">
        <f>IF(D12="","",SUMIF(블루1!E:E,D12,블루1!N:N)/100000000)</f>
        <v>1.575</v>
      </c>
      <c r="K12" s="62">
        <f t="shared" ref="K12:K14" si="8">IFERROR(J12/K$4, "")</f>
        <v>1.9198511348161435E-2</v>
      </c>
      <c r="L12" s="61">
        <f t="shared" ref="L12:L14" si="9">IFERROR(($E12-K12)*K$4*100000000/$S12, "")</f>
        <v>562.6211561904762</v>
      </c>
      <c r="M12" s="64">
        <f>IFERROR(INDEX(블루1!Q:Q,MATCH(D12,블루1!E:E,0))/100,"")</f>
        <v>-0.1094</v>
      </c>
      <c r="N12" s="63">
        <f>IF(D12="","",SUMIF(블루3!E:E,D12,블루3!N:N)/100000000)</f>
        <v>1.575</v>
      </c>
      <c r="O12" s="62">
        <f t="shared" ref="O12:O14" si="10">IFERROR(N12/O$4, "")</f>
        <v>2.0020467298705998E-2</v>
      </c>
      <c r="P12" s="61">
        <f t="shared" ref="P12:P14" si="11">IFERROR(($E12-O12)*O$4*100000000/$S12, "")</f>
        <v>498.46652190476181</v>
      </c>
      <c r="Q12" s="64">
        <f>IFERROR(INDEX(블루3!Q:Q,MATCH(D12,블루3!E:E,0))/100,"")</f>
        <v>-0.1094</v>
      </c>
      <c r="R12" s="101" t="s">
        <v>288</v>
      </c>
      <c r="S12" s="7">
        <f>IFERROR(INDEX(인컴2!$E$1:$Q$51, MATCH(R12, 인컴2!E:E, 0), 8), "")</f>
        <v>157500</v>
      </c>
      <c r="U12" t="str">
        <v>알에프머트리얼즈 14R</v>
      </c>
    </row>
    <row r="13" spans="1:25" ht="18" customHeight="1">
      <c r="A13" s="50">
        <v>7</v>
      </c>
      <c r="B13" s="35"/>
      <c r="C13" s="22" t="s">
        <v>290</v>
      </c>
      <c r="D13" s="28" t="str">
        <f>IF(R13="","",IFERROR(INDEX(인컴2!E:E,MATCH(R13,인컴2!E:E,0)),IFERROR(INDEX(블루1!E:E,MATCH(R13,블루1!E:E,0)),IFERROR(INDEX(블루3!E:E,MATCH(R13,블루3!E:E,0)),R13))))</f>
        <v>NAVER</v>
      </c>
      <c r="E13" s="42">
        <v>5.2999999999999999E-2</v>
      </c>
      <c r="F13" s="63">
        <f>IF(D13="","",SUMIF(인컴2!E:E,D13,인컴2!N:N)/100000000)</f>
        <v>4.2074999999999996</v>
      </c>
      <c r="G13" s="62">
        <f t="shared" si="6"/>
        <v>5.2770428561048098E-2</v>
      </c>
      <c r="H13" s="61">
        <f t="shared" si="7"/>
        <v>6.5255706238860078</v>
      </c>
      <c r="I13" s="64">
        <f>IFERROR(INDEX(인컴2!Q:Q,MATCH(D13,인컴2!E:E,0))/100,"")</f>
        <v>0.13320000000000001</v>
      </c>
      <c r="J13" s="63">
        <f>IF(D13="","",SUMIF(블루1!E:E,D13,블루1!N:N)/100000000)</f>
        <v>4.2074999999999996</v>
      </c>
      <c r="K13" s="62">
        <f t="shared" si="8"/>
        <v>5.1287451744374116E-2</v>
      </c>
      <c r="L13" s="61">
        <f t="shared" si="9"/>
        <v>50.086761889483164</v>
      </c>
      <c r="M13" s="64">
        <f>IFERROR(INDEX(블루1!Q:Q,MATCH(D13,블루1!E:E,0))/100,"")</f>
        <v>0.13320000000000001</v>
      </c>
      <c r="N13" s="63">
        <f>IF(D13="","",SUMIF(블루3!E:E,D13,블루3!N:N)/100000000)</f>
        <v>4.2074999999999996</v>
      </c>
      <c r="O13" s="62">
        <f t="shared" si="10"/>
        <v>5.3483248355114588E-2</v>
      </c>
      <c r="P13" s="61">
        <f t="shared" si="11"/>
        <v>-13.553263030302912</v>
      </c>
      <c r="Q13" s="64">
        <f>IFERROR(INDEX(블루3!Q:Q,MATCH(D13,블루3!E:E,0))/100,"")</f>
        <v>0.13320000000000001</v>
      </c>
      <c r="R13" s="69" t="s">
        <v>276</v>
      </c>
      <c r="S13" s="7">
        <f>IFERROR(INDEX(인컴2!$E$1:$Q$51, MATCH(R13, 인컴2!E:E, 0), 8), "")</f>
        <v>280500</v>
      </c>
      <c r="U13" t="str">
        <v>알지노믹스</v>
      </c>
    </row>
    <row r="14" spans="1:25" ht="18" customHeight="1">
      <c r="A14" s="50">
        <v>8</v>
      </c>
      <c r="B14" s="35"/>
      <c r="C14" s="22" t="s">
        <v>291</v>
      </c>
      <c r="D14" s="28" t="str">
        <f>IF(R14="","",IFERROR(INDEX(인컴2!E:E,MATCH(R14,인컴2!E:E,0)),IFERROR(INDEX(블루1!E:E,MATCH(R14,블루1!E:E,0)),IFERROR(INDEX(블루3!E:E,MATCH(R14,블루3!E:E,0)),R14))))</f>
        <v>TIGER 미국AI소프트웨어TOP4Plus</v>
      </c>
      <c r="E14" s="42">
        <v>0.03</v>
      </c>
      <c r="F14" s="63">
        <f>IF(D14="","",SUMIF(인컴2!E:E,D14,인컴2!N:N)/100000000)</f>
        <v>2.0590000000000002</v>
      </c>
      <c r="G14" s="62">
        <f t="shared" si="6"/>
        <v>2.5823960168080348E-2</v>
      </c>
      <c r="H14" s="61">
        <f t="shared" si="7"/>
        <v>3234.2365808644922</v>
      </c>
      <c r="I14" s="64">
        <f>IFERROR(INDEX(인컴2!Q:Q,MATCH(D14,인컴2!E:E,0))/100,"")</f>
        <v>1.54E-2</v>
      </c>
      <c r="J14" s="63">
        <f>IF(D14="","",SUMIF(블루1!E:E,D14,블루1!N:N)/100000000)</f>
        <v>2.0590000000000002</v>
      </c>
      <c r="K14" s="62">
        <f t="shared" si="8"/>
        <v>2.5098244359278984E-2</v>
      </c>
      <c r="L14" s="61">
        <f t="shared" si="9"/>
        <v>3906.0545993200553</v>
      </c>
      <c r="M14" s="64">
        <f>IFERROR(INDEX(블루1!Q:Q,MATCH(D14,블루1!E:E,0))/100,"")</f>
        <v>1.54E-2</v>
      </c>
      <c r="N14" s="63">
        <f>IF(D14="","",SUMIF(블루3!E:E,D14,블루3!N:N)/100000000)</f>
        <v>2.0590000000000002</v>
      </c>
      <c r="O14" s="62">
        <f t="shared" si="10"/>
        <v>2.6172788678117877E-2</v>
      </c>
      <c r="P14" s="61">
        <f t="shared" si="11"/>
        <v>2924.5728217581304</v>
      </c>
      <c r="Q14" s="64">
        <f>IFERROR(INDEX(블루3!Q:Q,MATCH(D14,블루3!E:E,0))/100,"")</f>
        <v>1.54E-2</v>
      </c>
      <c r="R14" s="69" t="s">
        <v>284</v>
      </c>
      <c r="S14" s="7">
        <f>IFERROR(INDEX(인컴2!$E$1:$Q$51, MATCH(R14, 인컴2!E:E, 0), 8), "")</f>
        <v>10295</v>
      </c>
      <c r="U14" t="str">
        <v>액스비스</v>
      </c>
    </row>
    <row r="15" spans="1:25" ht="18" customHeight="1">
      <c r="A15" s="50">
        <v>9</v>
      </c>
      <c r="B15" s="34"/>
      <c r="C15" s="22" t="s">
        <v>171</v>
      </c>
      <c r="D15" s="28" t="str">
        <f>IF(R15="","",IFERROR(INDEX(인컴2!E:E,MATCH(R15,인컴2!E:E,0)),IFERROR(INDEX(블루1!E:E,MATCH(R15,블루1!E:E,0)),IFERROR(INDEX(블루3!E:E,MATCH(R15,블루3!E:E,0)),R15))))</f>
        <v>에이직랜드</v>
      </c>
      <c r="E15" s="42">
        <v>3.5000000000000003E-2</v>
      </c>
      <c r="F15" s="63">
        <f>IF(D15="","",SUMIF(인컴2!E:E,D15,인컴2!N:N)/100000000)</f>
        <v>2.8214999999999999</v>
      </c>
      <c r="G15" s="62">
        <f t="shared" ref="G15" si="12">IFERROR(F15/$G$4, "")</f>
        <v>3.5387228564467556E-2</v>
      </c>
      <c r="H15" s="61">
        <f t="shared" ref="H15" si="13">IFERROR(($E15-G15)*G$4*100000000/$S15, "")</f>
        <v>-98.483470494418171</v>
      </c>
      <c r="I15" s="64">
        <f>IFERROR(INDEX(인컴2!Q:Q,MATCH(D15,인컴2!E:E,0))/100,"")</f>
        <v>2.5899999999999999E-2</v>
      </c>
      <c r="J15" s="63">
        <f>IF(D15="","",SUMIF(블루1!E:E,D15,블루1!N:N)/100000000)</f>
        <v>2.8214999999999999</v>
      </c>
      <c r="K15" s="62">
        <f t="shared" ref="K15" si="14">IFERROR(J15/K$4, "")</f>
        <v>3.4392761757992052E-2</v>
      </c>
      <c r="L15" s="61">
        <f t="shared" ref="L15" si="15">IFERROR(($E15-K15)*K$4*100000000/$S15, "")</f>
        <v>158.90390590111866</v>
      </c>
      <c r="M15" s="64">
        <f>IFERROR(INDEX(블루1!Q:Q,MATCH(D15,블루1!E:E,0))/100,"")</f>
        <v>2.6000000000000002E-2</v>
      </c>
      <c r="N15" s="63">
        <f>IF(D15="","",SUMIF(블루3!E:E,D15,블루3!N:N)/100000000)</f>
        <v>2.8214999999999999</v>
      </c>
      <c r="O15" s="62">
        <f t="shared" ref="O15" si="16">IFERROR(N15/O$4, "")</f>
        <v>3.5865237132253314E-2</v>
      </c>
      <c r="P15" s="61">
        <f t="shared" ref="P15" si="17">IFERROR(($E15-O15)*O$4*100000000/$S15, "")</f>
        <v>-217.12206060605928</v>
      </c>
      <c r="Q15" s="64">
        <f>IFERROR(INDEX(블루3!Q:Q,MATCH(D15,블루3!E:E,0))/100,"")</f>
        <v>2.6000000000000002E-2</v>
      </c>
      <c r="R15" s="69" t="s">
        <v>272</v>
      </c>
      <c r="S15" s="7">
        <f>IFERROR(INDEX(인컴2!$E$1:$Q$51, MATCH(R15, 인컴2!E:E, 0), 8), "")</f>
        <v>31350</v>
      </c>
      <c r="U15" t="str">
        <v>카나프테라퓨틱스</v>
      </c>
    </row>
    <row r="16" spans="1:25" ht="18" customHeight="1">
      <c r="A16" s="52"/>
      <c r="B16" s="35"/>
      <c r="C16" s="22"/>
      <c r="D16" s="28" t="str">
        <f>IF(R16="","",IFERROR(INDEX(인컴2!E:E,MATCH(R16,인컴2!E:E,0)),IFERROR(INDEX(블루1!E:E,MATCH(R16,블루1!E:E,0)),IFERROR(INDEX(블루3!E:E,MATCH(R16,블루3!E:E,0)),R16))))</f>
        <v/>
      </c>
      <c r="E16" s="42"/>
      <c r="F16" s="63" t="str">
        <f>IF(D16="","",SUMIF(인컴2!E:E,D16,인컴2!N:N)/100000000)</f>
        <v/>
      </c>
      <c r="G16" s="62" t="str">
        <f t="shared" si="0"/>
        <v/>
      </c>
      <c r="H16" s="61" t="str">
        <f t="shared" si="1"/>
        <v/>
      </c>
      <c r="I16" s="64" t="str">
        <f>IFERROR(INDEX(인컴2!Q:Q,MATCH(D16,인컴2!E:E,0))/100,"")</f>
        <v/>
      </c>
      <c r="J16" s="63" t="str">
        <f>IF(D16="","",SUMIF(블루1!E:E,D16,블루1!N:N)/100000000)</f>
        <v/>
      </c>
      <c r="K16" s="62" t="str">
        <f t="shared" si="2"/>
        <v/>
      </c>
      <c r="L16" s="61" t="str">
        <f t="shared" si="3"/>
        <v/>
      </c>
      <c r="M16" s="64" t="str">
        <f>IFERROR(INDEX(블루1!Q:Q,MATCH(D16,블루1!E:E,0))/100,"")</f>
        <v/>
      </c>
      <c r="N16" s="63" t="str">
        <f>IF(D16="","",SUMIF(블루3!E:E,D16,블루3!N:N)/100000000)</f>
        <v/>
      </c>
      <c r="O16" s="62" t="str">
        <f t="shared" si="4"/>
        <v/>
      </c>
      <c r="P16" s="61" t="str">
        <f t="shared" si="5"/>
        <v/>
      </c>
      <c r="Q16" s="64" t="str">
        <f>IFERROR(INDEX(블루3!Q:Q,MATCH(D16,블루3!E:E,0))/100,"")</f>
        <v/>
      </c>
      <c r="R16" s="101"/>
      <c r="S16" s="7" t="str">
        <f>IFERROR(INDEX(인컴2!$E$1:$Q$51, MATCH(R16, 인컴2!E:E, 0), 8), "")</f>
        <v/>
      </c>
      <c r="U16" t="str">
        <v>코스모로보틱스</v>
      </c>
    </row>
    <row r="17" spans="1:21" ht="18" customHeight="1">
      <c r="A17" s="52"/>
      <c r="B17" s="35"/>
      <c r="C17" s="22"/>
      <c r="D17" s="28" t="str">
        <f>IF(R17="","",IFERROR(INDEX(인컴2!E:E,MATCH(R17,인컴2!E:E,0)),IFERROR(INDEX(블루1!E:E,MATCH(R17,블루1!E:E,0)),IFERROR(INDEX(블루3!E:E,MATCH(R17,블루3!E:E,0)),R17))))</f>
        <v/>
      </c>
      <c r="E17" s="42"/>
      <c r="F17" s="63" t="str">
        <f>IF(D17="","",SUMIF(인컴2!E:E,D17,인컴2!N:N)/100000000)</f>
        <v/>
      </c>
      <c r="G17" s="62" t="str">
        <f t="shared" si="0"/>
        <v/>
      </c>
      <c r="H17" s="61" t="str">
        <f t="shared" si="1"/>
        <v/>
      </c>
      <c r="I17" s="64" t="str">
        <f>IFERROR(INDEX(인컴2!Q:Q,MATCH(D17,인컴2!E:E,0))/100,"")</f>
        <v/>
      </c>
      <c r="J17" s="63" t="str">
        <f>IF(D17="","",SUMIF(블루1!E:E,D17,블루1!N:N)/100000000)</f>
        <v/>
      </c>
      <c r="K17" s="62" t="str">
        <f t="shared" si="2"/>
        <v/>
      </c>
      <c r="L17" s="61" t="str">
        <f t="shared" si="3"/>
        <v/>
      </c>
      <c r="M17" s="64" t="str">
        <f>IFERROR(INDEX(블루1!Q:Q,MATCH(D17,블루1!E:E,0))/100,"")</f>
        <v/>
      </c>
      <c r="N17" s="63" t="str">
        <f>IF(D17="","",SUMIF(블루3!E:E,D17,블루3!N:N)/100000000)</f>
        <v/>
      </c>
      <c r="O17" s="62" t="str">
        <f t="shared" si="4"/>
        <v/>
      </c>
      <c r="P17" s="61" t="str">
        <f t="shared" si="5"/>
        <v/>
      </c>
      <c r="Q17" s="64" t="str">
        <f>IFERROR(INDEX(블루3!Q:Q,MATCH(D17,블루3!E:E,0))/100,"")</f>
        <v/>
      </c>
      <c r="R17" s="69"/>
      <c r="S17" s="7" t="str">
        <f>IFERROR(INDEX(인컴2!$E$1:$Q$51, MATCH(R17, 인컴2!E:E, 0), 8), "")</f>
        <v/>
      </c>
      <c r="U17" t="str">
        <v>폴레드</v>
      </c>
    </row>
    <row r="18" spans="1:21" ht="18" customHeight="1">
      <c r="A18" s="52"/>
      <c r="B18" s="35"/>
      <c r="C18" s="22"/>
      <c r="D18" s="28" t="str">
        <f>IF(R18="","",IFERROR(INDEX(인컴2!E:E,MATCH(R18,인컴2!E:E,0)),IFERROR(INDEX(블루1!E:E,MATCH(R18,블루1!E:E,0)),IFERROR(INDEX(블루3!E:E,MATCH(R18,블루3!E:E,0)),R18))))</f>
        <v/>
      </c>
      <c r="E18" s="42"/>
      <c r="F18" s="63" t="str">
        <f>IF(D18="","",SUMIF(인컴2!E:E,D18,인컴2!N:N)/100000000)</f>
        <v/>
      </c>
      <c r="G18" s="62" t="str">
        <f t="shared" si="0"/>
        <v/>
      </c>
      <c r="H18" s="61" t="str">
        <f t="shared" si="1"/>
        <v/>
      </c>
      <c r="I18" s="64" t="str">
        <f>IFERROR(INDEX(인컴2!Q:Q,MATCH(D18,인컴2!E:E,0))/100,"")</f>
        <v/>
      </c>
      <c r="J18" s="63" t="str">
        <f>IF(D18="","",SUMIF(블루1!E:E,D18,블루1!N:N)/100000000)</f>
        <v/>
      </c>
      <c r="K18" s="62" t="str">
        <f t="shared" si="2"/>
        <v/>
      </c>
      <c r="L18" s="61" t="str">
        <f t="shared" si="3"/>
        <v/>
      </c>
      <c r="M18" s="64" t="str">
        <f>IFERROR(INDEX(블루1!Q:Q,MATCH(D18,블루1!E:E,0))/100,"")</f>
        <v/>
      </c>
      <c r="N18" s="63" t="str">
        <f>IF(D18="","",SUMIF(블루3!E:E,D18,블루3!N:N)/100000000)</f>
        <v/>
      </c>
      <c r="O18" s="62" t="str">
        <f t="shared" si="4"/>
        <v/>
      </c>
      <c r="P18" s="61" t="str">
        <f t="shared" si="5"/>
        <v/>
      </c>
      <c r="Q18" s="64" t="str">
        <f>IFERROR(INDEX(블루3!Q:Q,MATCH(D18,블루3!E:E,0))/100,"")</f>
        <v/>
      </c>
      <c r="R18" s="69"/>
      <c r="S18" s="7" t="str">
        <f>IFERROR(INDEX(인컴2!$E$1:$Q$51, MATCH(R18, 인컴2!E:E, 0), 8), "")</f>
        <v/>
      </c>
      <c r="U18" t="str">
        <v>피스피스스튜디오공모주(보)</v>
      </c>
    </row>
    <row r="19" spans="1:21" ht="18" customHeight="1">
      <c r="A19" s="52"/>
      <c r="B19" s="35"/>
      <c r="C19" s="22"/>
      <c r="D19" s="28" t="str">
        <f>IF(R19="","",IFERROR(INDEX(인컴2!E:E,MATCH(R19,인컴2!E:E,0)),IFERROR(INDEX(블루1!E:E,MATCH(R19,블루1!E:E,0)),IFERROR(INDEX(블루3!E:E,MATCH(R19,블루3!E:E,0)),R19))))</f>
        <v/>
      </c>
      <c r="E19" s="42"/>
      <c r="F19" s="63" t="str">
        <f>IF(D19="","",SUMIF(인컴2!E:E,D19,인컴2!N:N)/100000000)</f>
        <v/>
      </c>
      <c r="G19" s="62" t="str">
        <f t="shared" si="0"/>
        <v/>
      </c>
      <c r="H19" s="61" t="str">
        <f t="shared" si="1"/>
        <v/>
      </c>
      <c r="I19" s="64" t="str">
        <f>IFERROR(INDEX(인컴2!Q:Q,MATCH(D19,인컴2!E:E,0))/100,"")</f>
        <v/>
      </c>
      <c r="J19" s="63" t="str">
        <f>IF(D19="","",SUMIF(블루1!E:E,D19,블루1!N:N)/100000000)</f>
        <v/>
      </c>
      <c r="K19" s="62" t="str">
        <f t="shared" si="2"/>
        <v/>
      </c>
      <c r="L19" s="61" t="str">
        <f t="shared" si="3"/>
        <v/>
      </c>
      <c r="M19" s="64" t="str">
        <f>IFERROR(INDEX(블루1!Q:Q,MATCH(D19,블루1!E:E,0))/100,"")</f>
        <v/>
      </c>
      <c r="N19" s="63" t="str">
        <f>IF(D19="","",SUMIF(블루3!E:E,D19,블루3!N:N)/100000000)</f>
        <v/>
      </c>
      <c r="O19" s="62" t="str">
        <f t="shared" si="4"/>
        <v/>
      </c>
      <c r="P19" s="61" t="str">
        <f t="shared" si="5"/>
        <v/>
      </c>
      <c r="Q19" s="64" t="str">
        <f>IFERROR(INDEX(블루3!Q:Q,MATCH(D19,블루3!E:E,0))/100,"")</f>
        <v/>
      </c>
      <c r="R19" s="69"/>
      <c r="S19" s="7" t="str">
        <f>IFERROR(INDEX(인컴2!$E$1:$Q$51, MATCH(R19, 인컴2!E:E, 0), 8), "")</f>
        <v/>
      </c>
    </row>
    <row r="20" spans="1:21" ht="18" customHeight="1">
      <c r="A20" s="53"/>
      <c r="B20" s="30"/>
      <c r="C20" s="102" t="s">
        <v>235</v>
      </c>
      <c r="D20" s="30"/>
      <c r="E20" s="44">
        <f>SUM(E7:E19)</f>
        <v>0.39800000000000002</v>
      </c>
      <c r="F20" s="65">
        <f>SUM(F7:F19)</f>
        <v>29.165049999999997</v>
      </c>
      <c r="G20" s="66">
        <f>IFERROR(F20/$F$4, "")</f>
        <v>1.8275838722503996</v>
      </c>
      <c r="H20" s="67"/>
      <c r="I20" s="67"/>
      <c r="J20" s="68">
        <f>SUM(J7:J19)</f>
        <v>28.667550000000002</v>
      </c>
      <c r="K20" s="66">
        <f t="shared" ref="K20:K50" si="18">IFERROR(J20/J$4, "")</f>
        <v>1.8316574026698687</v>
      </c>
      <c r="L20" s="67"/>
      <c r="M20" s="67"/>
      <c r="N20" s="68">
        <f>SUM(N7:N19)</f>
        <v>28.667550000000002</v>
      </c>
      <c r="O20" s="66">
        <f t="shared" ref="O20:O50" si="19">IFERROR(N20/N$4, "")</f>
        <v>1.8389045362649918</v>
      </c>
      <c r="P20" s="67"/>
      <c r="Q20" s="67"/>
      <c r="R20" s="70"/>
      <c r="S20" s="8"/>
    </row>
    <row r="21" spans="1:21" ht="18" customHeight="1">
      <c r="A21" s="50">
        <v>1</v>
      </c>
      <c r="B21" s="81" t="s">
        <v>173</v>
      </c>
      <c r="C21" s="21" t="s">
        <v>303</v>
      </c>
      <c r="D21" s="28" t="str">
        <f>IF(R21="","",IFERROR(INDEX(인컴2!E:E,MATCH(R21,인컴2!E:E,0)),IFERROR(INDEX(블루1!E:E,MATCH(R21,블루1!E:E,0)),IFERROR(INDEX(블루3!E:E,MATCH(R21,블루3!E:E,0)),R21))))</f>
        <v>KODEX 보험</v>
      </c>
      <c r="E21" s="42">
        <v>0.04</v>
      </c>
      <c r="F21" s="63">
        <f>IF(D21="","",SUMIF(인컴2!E:E,D21,인컴2!N:N)/100000000)</f>
        <v>3.1185</v>
      </c>
      <c r="G21" s="62">
        <f>IFERROR(F21/$G$4, "")</f>
        <v>3.9112199992306244E-2</v>
      </c>
      <c r="H21" s="61">
        <f>IFERROR(($E21-G21)*G$4*100000000/$S21, "")</f>
        <v>340.48200096199992</v>
      </c>
      <c r="I21" s="64">
        <f>IFERROR(INDEX(인컴2!Q:Q,MATCH(D21,인컴2!E:E,0))/100,"")</f>
        <v>3.4500000000000003E-2</v>
      </c>
      <c r="J21" s="63">
        <f>IF(D21="","",SUMIF(블루1!E:E,D21,블루1!N:N)/100000000)</f>
        <v>3.1185</v>
      </c>
      <c r="K21" s="62">
        <f>IFERROR(J21/K$4, "")</f>
        <v>3.801305246935964E-2</v>
      </c>
      <c r="L21" s="61">
        <f>IFERROR(($E21-K21)*K$4*100000000/$S21, "")</f>
        <v>784.05208273208393</v>
      </c>
      <c r="M21" s="64">
        <f>IFERROR(INDEX(블루1!Q:Q,MATCH(D21,블루1!E:E,0))/100,"")</f>
        <v>3.4200000000000001E-2</v>
      </c>
      <c r="N21" s="63">
        <f>IF(D21="","",SUMIF(블루3!E:E,D21,블루3!N:N)/100000000)</f>
        <v>3.1185</v>
      </c>
      <c r="O21" s="62">
        <f>IFERROR(N21/O$4, "")</f>
        <v>3.964052525143788E-2</v>
      </c>
      <c r="P21" s="61">
        <f>IFERROR(($E21-O21)*O$4*100000000/$S21, "")</f>
        <v>136.02547378547212</v>
      </c>
      <c r="Q21" s="64">
        <f>IFERROR(INDEX(블루3!Q:Q,MATCH(D21,블루3!E:E,0))/100,"")</f>
        <v>3.4500000000000003E-2</v>
      </c>
      <c r="R21" s="69" t="s">
        <v>295</v>
      </c>
      <c r="S21" s="7">
        <f>IFERROR(INDEX(인컴2!$E$1:$Q$51, MATCH(R21, 인컴2!E:E, 0), 8), "")</f>
        <v>20790</v>
      </c>
    </row>
    <row r="22" spans="1:21" ht="18" customHeight="1">
      <c r="A22" s="51"/>
      <c r="B22" s="41">
        <f>SUM(E21:E23)</f>
        <v>0.04</v>
      </c>
      <c r="C22" s="22"/>
      <c r="D22" s="28" t="str">
        <f>IF(R22="","",IFERROR(INDEX(인컴2!E:E,MATCH(R22,인컴2!E:E,0)),IFERROR(INDEX(블루1!E:E,MATCH(R22,블루1!E:E,0)),IFERROR(INDEX(블루3!E:E,MATCH(R22,블루3!E:E,0)),R22))))</f>
        <v/>
      </c>
      <c r="E22" s="42"/>
      <c r="F22" s="63" t="str">
        <f>IF(D22="","",SUMIF(인컴2!E:E,D22,인컴2!N:N)/100000000)</f>
        <v/>
      </c>
      <c r="G22" s="62" t="str">
        <f t="shared" ref="G22:G23" si="20">IFERROR(F22/$G$4, "")</f>
        <v/>
      </c>
      <c r="H22" s="61" t="str">
        <f t="shared" ref="H22:H23" si="21">IFERROR(($E22-G22)*G$4*100000000/$S22, "")</f>
        <v/>
      </c>
      <c r="I22" s="64" t="str">
        <f>IFERROR(INDEX(인컴2!Q:Q,MATCH(D22,인컴2!E:E,0))/100,"")</f>
        <v/>
      </c>
      <c r="J22" s="63" t="str">
        <f>IF(D22="","",SUMIF(블루1!E:E,D22,블루1!N:N)/100000000)</f>
        <v/>
      </c>
      <c r="K22" s="62" t="str">
        <f t="shared" ref="K22:K23" si="22">IFERROR(J22/K$4, "")</f>
        <v/>
      </c>
      <c r="L22" s="61" t="str">
        <f t="shared" ref="L22:L23" si="23">IFERROR(($E22-K22)*K$4*100000000/$S22, "")</f>
        <v/>
      </c>
      <c r="M22" s="64" t="str">
        <f>IFERROR(INDEX(블루1!Q:Q,MATCH(D22,블루1!E:E,0))/100,"")</f>
        <v/>
      </c>
      <c r="N22" s="63" t="str">
        <f>IF(D22="","",SUMIF(블루3!E:E,D22,블루3!N:N)/100000000)</f>
        <v/>
      </c>
      <c r="O22" s="62" t="str">
        <f t="shared" ref="O22:O23" si="24">IFERROR(N22/O$4, "")</f>
        <v/>
      </c>
      <c r="P22" s="61" t="str">
        <f t="shared" ref="P22:P23" si="25">IFERROR(($E22-O22)*O$4*100000000/$S22, "")</f>
        <v/>
      </c>
      <c r="Q22" s="64" t="str">
        <f>IFERROR(INDEX(블루3!Q:Q,MATCH(D22,블루3!E:E,0))/100,"")</f>
        <v/>
      </c>
      <c r="R22" s="101"/>
      <c r="S22" s="7" t="str">
        <f>IFERROR(INDEX(인컴2!$E$1:$Q$51, MATCH(R22, 인컴2!E:E, 0), 8), "")</f>
        <v/>
      </c>
    </row>
    <row r="23" spans="1:21" ht="18" customHeight="1">
      <c r="A23" s="54"/>
      <c r="B23" s="36"/>
      <c r="C23" s="23"/>
      <c r="D23" s="29" t="str">
        <f>IF(R23="","",IFERROR(INDEX(인컴2!E:E,MATCH(R23,인컴2!E:E,0)),IFERROR(INDEX(블루1!E:E,MATCH(R23,블루1!E:E,0)),IFERROR(INDEX(블루3!E:E,MATCH(R23,블루3!E:E,0)),R23))))</f>
        <v/>
      </c>
      <c r="E23" s="43"/>
      <c r="F23" s="63" t="str">
        <f>IF(D23="","",SUMIF(인컴2!E:E,D23,인컴2!N:N)/100000000)</f>
        <v/>
      </c>
      <c r="G23" s="62" t="str">
        <f t="shared" si="20"/>
        <v/>
      </c>
      <c r="H23" s="61" t="str">
        <f t="shared" si="21"/>
        <v/>
      </c>
      <c r="I23" s="64" t="str">
        <f>IFERROR(INDEX(인컴2!Q:Q,MATCH(D23,인컴2!E:E,0))/100,"")</f>
        <v/>
      </c>
      <c r="J23" s="63" t="str">
        <f>IF(D23="","",SUMIF(블루1!E:E,D23,블루1!N:N)/100000000)</f>
        <v/>
      </c>
      <c r="K23" s="62" t="str">
        <f t="shared" si="22"/>
        <v/>
      </c>
      <c r="L23" s="61" t="str">
        <f t="shared" si="23"/>
        <v/>
      </c>
      <c r="M23" s="64" t="str">
        <f>IFERROR(INDEX(블루1!Q:Q,MATCH(D23,블루1!E:E,0))/100,"")</f>
        <v/>
      </c>
      <c r="N23" s="63" t="str">
        <f>IF(D23="","",SUMIF(블루3!E:E,D23,블루3!N:N)/100000000)</f>
        <v/>
      </c>
      <c r="O23" s="62" t="str">
        <f t="shared" si="24"/>
        <v/>
      </c>
      <c r="P23" s="61" t="str">
        <f t="shared" si="25"/>
        <v/>
      </c>
      <c r="Q23" s="64" t="str">
        <f>IFERROR(INDEX(블루3!Q:Q,MATCH(D23,블루3!E:E,0))/100,"")</f>
        <v/>
      </c>
      <c r="R23" s="71"/>
      <c r="S23" s="7" t="str">
        <f>IFERROR(INDEX(인컴2!$E$1:$Q$51, MATCH(R23, 인컴2!E:E, 0), 8), "")</f>
        <v/>
      </c>
    </row>
    <row r="24" spans="1:21" ht="18" customHeight="1">
      <c r="A24" s="53"/>
      <c r="B24" s="30"/>
      <c r="C24" s="24" t="s">
        <v>236</v>
      </c>
      <c r="D24" s="30"/>
      <c r="E24" s="44">
        <f>SUM(E21:E23)</f>
        <v>0.04</v>
      </c>
      <c r="F24" s="65">
        <f>SUM(F21:F23)</f>
        <v>3.1185</v>
      </c>
      <c r="G24" s="66">
        <f t="shared" ref="G24:G50" si="26">IFERROR(F24/$F$4, "")</f>
        <v>0.19541609925622866</v>
      </c>
      <c r="H24" s="67" t="str">
        <f>IFERROR(($E24-G24)*F$4/$S24, "")</f>
        <v/>
      </c>
      <c r="I24" s="67"/>
      <c r="J24" s="68">
        <f>SUM(J21:J23)</f>
        <v>3.1185</v>
      </c>
      <c r="K24" s="66">
        <f t="shared" si="18"/>
        <v>0.19925049787044882</v>
      </c>
      <c r="L24" s="67"/>
      <c r="M24" s="67"/>
      <c r="N24" s="68">
        <f>SUM(N21:N23)</f>
        <v>3.1185</v>
      </c>
      <c r="O24" s="66">
        <f t="shared" si="19"/>
        <v>0.20003885216359182</v>
      </c>
      <c r="P24" s="67"/>
      <c r="Q24" s="67"/>
      <c r="R24" s="70"/>
      <c r="S24" s="8" t="str">
        <f>IFERROR(INDEX(인컴2!$E$1:$Q$51, MATCH(R24, 인컴2!E:E, 0), 8), "")</f>
        <v/>
      </c>
    </row>
    <row r="25" spans="1:21" ht="18" customHeight="1">
      <c r="A25" s="50">
        <v>1</v>
      </c>
      <c r="B25" s="81" t="s">
        <v>198</v>
      </c>
      <c r="C25" s="21" t="s">
        <v>117</v>
      </c>
      <c r="D25" s="28" t="str">
        <f>IF(R25="","",IFERROR(INDEX(인컴2!E:E,MATCH(R25,인컴2!E:E,0)),IFERROR(INDEX(블루1!E:E,MATCH(R25,블루1!E:E,0)),IFERROR(INDEX(블루3!E:E,MATCH(R25,블루3!E:E,0)),R25))))</f>
        <v>앱클론</v>
      </c>
      <c r="E25" s="42">
        <v>2.5000000000000001E-2</v>
      </c>
      <c r="F25" s="63">
        <f>IF(D25="","",SUMIF(인컴2!E:E,D25,인컴2!N:N)/100000000)</f>
        <v>1.6950000000000001</v>
      </c>
      <c r="G25" s="62">
        <f t="shared" ref="G25" si="27">IFERROR(F25/$G$4, "")</f>
        <v>2.1258675320493536E-2</v>
      </c>
      <c r="H25" s="61" t="str">
        <f t="shared" ref="H25" si="28">IFERROR(($E25-G25)*G$4*100000000/$S25, "")</f>
        <v/>
      </c>
      <c r="I25" s="64">
        <f>IFERROR(INDEX(인컴2!Q:Q,MATCH(D25,인컴2!E:E,0))/100,"")</f>
        <v>-0.36210000000000003</v>
      </c>
      <c r="J25" s="63">
        <f>IF(D25="","",SUMIF(블루1!E:E,D25,블루1!N:N)/100000000)</f>
        <v>1.6950000000000001</v>
      </c>
      <c r="K25" s="62">
        <f t="shared" ref="K25" si="29">IFERROR(J25/K$4, "")</f>
        <v>2.0661255069926117E-2</v>
      </c>
      <c r="L25" s="61" t="str">
        <f t="shared" ref="L25" si="30">IFERROR(($E25-K25)*K$4*100000000/$S25, "")</f>
        <v/>
      </c>
      <c r="M25" s="64">
        <f>IFERROR(INDEX(블루1!Q:Q,MATCH(D25,블루1!E:E,0))/100,"")</f>
        <v>-0.36630000000000001</v>
      </c>
      <c r="N25" s="63">
        <f>IF(D25="","",SUMIF(블루3!E:E,D25,블루3!N:N)/100000000)</f>
        <v>1.6950000000000001</v>
      </c>
      <c r="O25" s="62">
        <f t="shared" ref="O25" si="31">IFERROR(N25/O$4, "")</f>
        <v>2.1545836235750265E-2</v>
      </c>
      <c r="P25" s="61" t="str">
        <f t="shared" ref="P25" si="32">IFERROR(($E25-O25)*O$4*100000000/$S25, "")</f>
        <v/>
      </c>
      <c r="Q25" s="64">
        <f>IFERROR(INDEX(블루3!Q:Q,MATCH(D25,블루3!E:E,0))/100,"")</f>
        <v>-0.30320000000000003</v>
      </c>
      <c r="R25" s="153" t="s">
        <v>304</v>
      </c>
      <c r="S25" s="7" t="str">
        <f>IFERROR(INDEX(인컴2!$E$1:$Q$51, MATCH(R25, 인컴2!E:E, 0), 8), "")</f>
        <v/>
      </c>
    </row>
    <row r="26" spans="1:21" ht="18" customHeight="1">
      <c r="A26" s="50">
        <v>2</v>
      </c>
      <c r="B26" s="41">
        <f>SUM(E25:E29)</f>
        <v>0.105</v>
      </c>
      <c r="C26" s="21" t="s">
        <v>117</v>
      </c>
      <c r="D26" s="28" t="str">
        <f>IF(R26="","",IFERROR(INDEX(인컴2!E:E,MATCH(R26,인컴2!E:E,0)),IFERROR(INDEX(블루1!E:E,MATCH(R26,블루1!E:E,0)),IFERROR(INDEX(블루3!E:E,MATCH(R26,블루3!E:E,0)),R26))))</f>
        <v>큐라클</v>
      </c>
      <c r="E26" s="42">
        <v>0.03</v>
      </c>
      <c r="F26" s="63">
        <f>IF(D26="","",SUMIF(인컴2!E:E,D26,인컴2!N:N)/100000000)</f>
        <v>2.2999372</v>
      </c>
      <c r="G26" s="62">
        <f t="shared" ref="G26:G29" si="33">IFERROR(F26/$G$4, "")</f>
        <v>2.8845792443849556E-2</v>
      </c>
      <c r="H26" s="61">
        <f t="shared" ref="H26:H29" si="34">IFERROR(($E26-G26)*G$4*100000000/$S26, "")</f>
        <v>639.96840055632674</v>
      </c>
      <c r="I26" s="64">
        <f>IFERROR(INDEX(인컴2!Q:Q,MATCH(D26,인컴2!E:E,0))/100,"")</f>
        <v>-8.6999999999999994E-2</v>
      </c>
      <c r="J26" s="63">
        <f>IF(D26="","",SUMIF(블루1!E:E,D26,블루1!N:N)/100000000)</f>
        <v>2.2999372</v>
      </c>
      <c r="K26" s="62">
        <f t="shared" ref="K26:K29" si="35">IFERROR(J26/K$4, "")</f>
        <v>2.8035155831275325E-2</v>
      </c>
      <c r="L26" s="61">
        <f t="shared" ref="L26:L29" si="36">IFERROR(($E26-K26)*K$4*100000000/$S26, "")</f>
        <v>1120.9396453407503</v>
      </c>
      <c r="M26" s="64">
        <f>IFERROR(INDEX(블루1!Q:Q,MATCH(D26,블루1!E:E,0))/100,"")</f>
        <v>-8.6999999999999994E-2</v>
      </c>
      <c r="N26" s="63">
        <f>IF(D26="","",SUMIF(블루3!E:E,D26,블루3!N:N)/100000000)</f>
        <v>2.2990743999999999</v>
      </c>
      <c r="O26" s="62">
        <f t="shared" ref="O26:O29" si="37">IFERROR(N26/O$4, "")</f>
        <v>2.9224472280947371E-2</v>
      </c>
      <c r="P26" s="61">
        <f t="shared" ref="P26:P29" si="38">IFERROR(($E26-O26)*O$4*100000000/$S26, "")</f>
        <v>424.27240611961093</v>
      </c>
      <c r="Q26" s="64">
        <f>IFERROR(INDEX(블루3!Q:Q,MATCH(D26,블루3!E:E,0))/100,"")</f>
        <v>-5.0700000000000002E-2</v>
      </c>
      <c r="R26" s="69" t="s">
        <v>217</v>
      </c>
      <c r="S26" s="7">
        <f>IFERROR(INDEX(인컴2!$E$1:$Q$51, MATCH(R26, 인컴2!E:E, 0), 8), "")</f>
        <v>14380</v>
      </c>
    </row>
    <row r="27" spans="1:21" ht="18" customHeight="1">
      <c r="A27" s="50">
        <v>3</v>
      </c>
      <c r="B27" s="28"/>
      <c r="C27" s="21" t="s">
        <v>203</v>
      </c>
      <c r="D27" s="28" t="str">
        <f>IF(R27="","",IFERROR(INDEX(인컴2!E:E,MATCH(R27,인컴2!E:E,0)),IFERROR(INDEX(블루1!E:E,MATCH(R27,블루1!E:E,0)),IFERROR(INDEX(블루3!E:E,MATCH(R27,블루3!E:E,0)),R27))))</f>
        <v>TIGER 기술이전바이오액티브</v>
      </c>
      <c r="E27" s="42">
        <v>0.02</v>
      </c>
      <c r="F27" s="63">
        <f>IF(D27="","",SUMIF(인컴2!E:E,D27,인컴2!N:N)/100000000)</f>
        <v>1.8549500000000001</v>
      </c>
      <c r="G27" s="62">
        <f t="shared" si="33"/>
        <v>2.3264766835250431E-2</v>
      </c>
      <c r="H27" s="61">
        <f t="shared" si="34"/>
        <v>-3227.6118536887802</v>
      </c>
      <c r="I27" s="64">
        <f>IFERROR(INDEX(인컴2!Q:Q,MATCH(D27,인컴2!E:E,0))/100,"")</f>
        <v>-0.17100000000000001</v>
      </c>
      <c r="J27" s="63">
        <f>IF(D27="","",SUMIF(블루1!E:E,D27,블루1!N:N)/100000000)</f>
        <v>1.8549500000000001</v>
      </c>
      <c r="K27" s="62">
        <f t="shared" si="35"/>
        <v>2.2610970555728291E-2</v>
      </c>
      <c r="L27" s="61">
        <f t="shared" si="36"/>
        <v>-2655.893192808433</v>
      </c>
      <c r="M27" s="64">
        <f>IFERROR(INDEX(블루1!Q:Q,MATCH(D27,블루1!E:E,0))/100,"")</f>
        <v>-0.17100000000000001</v>
      </c>
      <c r="N27" s="63">
        <f>IF(D27="","",SUMIF(블루3!E:E,D27,블루3!N:N)/100000000)</f>
        <v>1.8549500000000001</v>
      </c>
      <c r="O27" s="62">
        <f t="shared" si="37"/>
        <v>2.3579025914752187E-2</v>
      </c>
      <c r="P27" s="61">
        <f t="shared" si="38"/>
        <v>-3491.1364166150051</v>
      </c>
      <c r="Q27" s="64">
        <f>IFERROR(INDEX(블루3!Q:Q,MATCH(D27,블루3!E:E,0))/100,"")</f>
        <v>-0.17100000000000001</v>
      </c>
      <c r="R27" s="69" t="s">
        <v>218</v>
      </c>
      <c r="S27" s="7">
        <f>IFERROR(INDEX(인컴2!$E$1:$Q$51, MATCH(R27, 인컴2!E:E, 0), 8), "")</f>
        <v>8065</v>
      </c>
    </row>
    <row r="28" spans="1:21" ht="18" customHeight="1">
      <c r="A28" s="50">
        <v>4</v>
      </c>
      <c r="B28" s="34"/>
      <c r="C28" s="21" t="s">
        <v>3</v>
      </c>
      <c r="D28" s="28" t="str">
        <f>IF(R28="","",IFERROR(INDEX(인컴2!E:E,MATCH(R28,인컴2!E:E,0)),IFERROR(INDEX(블루1!E:E,MATCH(R28,블루1!E:E,0)),IFERROR(INDEX(블루3!E:E,MATCH(R28,블루3!E:E,0)),R28))))</f>
        <v>한올바이오파마</v>
      </c>
      <c r="E28" s="42">
        <v>0.03</v>
      </c>
      <c r="F28" s="63">
        <f>IF(D28="","",SUMIF(인컴2!E:E,D28,인컴2!N:N)/100000000)</f>
        <v>2.835</v>
      </c>
      <c r="G28" s="62">
        <f t="shared" si="33"/>
        <v>3.555654544755113E-2</v>
      </c>
      <c r="H28" s="61">
        <f t="shared" si="34"/>
        <v>-781.36744973545012</v>
      </c>
      <c r="I28" s="64">
        <f>IFERROR(INDEX(인컴2!Q:Q,MATCH(D28,인컴2!E:E,0))/100,"")</f>
        <v>-0.13550000000000001</v>
      </c>
      <c r="J28" s="63">
        <f>IF(D28="","",SUMIF(블루1!E:E,D28,블루1!N:N)/100000000)</f>
        <v>2.835</v>
      </c>
      <c r="K28" s="62">
        <f t="shared" si="35"/>
        <v>3.4557320426690581E-2</v>
      </c>
      <c r="L28" s="61">
        <f t="shared" si="36"/>
        <v>-659.3856772486771</v>
      </c>
      <c r="M28" s="64">
        <f>IFERROR(INDEX(블루1!Q:Q,MATCH(D28,블루1!E:E,0))/100,"")</f>
        <v>-0.1356</v>
      </c>
      <c r="N28" s="63">
        <f>IF(D28="","",SUMIF(블루3!E:E,D28,블루3!N:N)/100000000)</f>
        <v>2.835</v>
      </c>
      <c r="O28" s="62">
        <f t="shared" si="37"/>
        <v>3.6036841137670798E-2</v>
      </c>
      <c r="P28" s="61">
        <f t="shared" si="38"/>
        <v>-837.59299470899521</v>
      </c>
      <c r="Q28" s="64">
        <f>IFERROR(INDEX(블루3!Q:Q,MATCH(D28,블루3!E:E,0))/100,"")</f>
        <v>-0.1358</v>
      </c>
      <c r="R28" s="69" t="s">
        <v>270</v>
      </c>
      <c r="S28" s="7">
        <f>IFERROR(INDEX(인컴2!$E$1:$Q$51, MATCH(R28, 인컴2!E:E, 0), 8), "")</f>
        <v>56700</v>
      </c>
    </row>
    <row r="29" spans="1:21" ht="18" customHeight="1">
      <c r="A29" s="54"/>
      <c r="B29" s="36"/>
      <c r="C29" s="23"/>
      <c r="D29" s="29" t="str">
        <f>IF(R29="","",IFERROR(INDEX(인컴2!E:E,MATCH(R29,인컴2!E:E,0)),IFERROR(INDEX(블루1!E:E,MATCH(R29,블루1!E:E,0)),IFERROR(INDEX(블루3!E:E,MATCH(R29,블루3!E:E,0)),R29))))</f>
        <v/>
      </c>
      <c r="E29" s="43"/>
      <c r="F29" s="63" t="str">
        <f>IF(D29="","",SUMIF(인컴2!E:E,D29,인컴2!N:N)/100000000)</f>
        <v/>
      </c>
      <c r="G29" s="62" t="str">
        <f t="shared" si="33"/>
        <v/>
      </c>
      <c r="H29" s="61" t="str">
        <f t="shared" si="34"/>
        <v/>
      </c>
      <c r="I29" s="64" t="str">
        <f>IFERROR(INDEX(인컴2!Q:Q,MATCH(D29,인컴2!E:E,0))/100,"")</f>
        <v/>
      </c>
      <c r="J29" s="63" t="str">
        <f>IF(D29="","",SUMIF(블루1!E:E,D29,블루1!N:N)/100000000)</f>
        <v/>
      </c>
      <c r="K29" s="62" t="str">
        <f t="shared" si="35"/>
        <v/>
      </c>
      <c r="L29" s="61" t="str">
        <f t="shared" si="36"/>
        <v/>
      </c>
      <c r="M29" s="64" t="str">
        <f>IFERROR(INDEX(블루1!Q:Q,MATCH(D29,블루1!E:E,0))/100,"")</f>
        <v/>
      </c>
      <c r="N29" s="63" t="str">
        <f>IF(D29="","",SUMIF(블루3!E:E,D29,블루3!N:N)/100000000)</f>
        <v/>
      </c>
      <c r="O29" s="62" t="str">
        <f t="shared" si="37"/>
        <v/>
      </c>
      <c r="P29" s="61" t="str">
        <f t="shared" si="38"/>
        <v/>
      </c>
      <c r="Q29" s="64" t="str">
        <f>IFERROR(INDEX(블루3!Q:Q,MATCH(D29,블루3!E:E,0))/100,"")</f>
        <v/>
      </c>
      <c r="R29" s="71"/>
      <c r="S29" s="7" t="str">
        <f>IFERROR(INDEX(인컴2!$E$1:$Q$51, MATCH(R29, 인컴2!E:E, 0), 8), "")</f>
        <v/>
      </c>
    </row>
    <row r="30" spans="1:21" ht="18" customHeight="1">
      <c r="A30" s="53"/>
      <c r="B30" s="30"/>
      <c r="C30" s="24" t="s">
        <v>237</v>
      </c>
      <c r="D30" s="30"/>
      <c r="E30" s="44">
        <f>SUM(E25:E29)</f>
        <v>0.105</v>
      </c>
      <c r="F30" s="65">
        <f>SUM(F25:F29)</f>
        <v>8.6848871999999986</v>
      </c>
      <c r="G30" s="66">
        <f t="shared" si="26"/>
        <v>0.54422535805815286</v>
      </c>
      <c r="H30" s="67" t="str">
        <f t="shared" ref="H30:H41" si="39">IFERROR(($E30-G30)*F$4*100000000/$S30, "")</f>
        <v/>
      </c>
      <c r="I30" s="67"/>
      <c r="J30" s="68">
        <f>SUM(J25:J29)</f>
        <v>8.6848871999999986</v>
      </c>
      <c r="K30" s="66">
        <f t="shared" si="18"/>
        <v>0.55490399183860439</v>
      </c>
      <c r="L30" s="67"/>
      <c r="M30" s="67"/>
      <c r="N30" s="68">
        <f>SUM(N25:N29)</f>
        <v>8.6840243999999984</v>
      </c>
      <c r="O30" s="66">
        <f t="shared" si="19"/>
        <v>0.55704417929665662</v>
      </c>
      <c r="P30" s="67"/>
      <c r="Q30" s="67"/>
      <c r="R30" s="70"/>
      <c r="S30" s="8" t="str">
        <f>IFERROR(INDEX(인컴2!$E$1:$Q$51, MATCH(R30, 인컴2!E:E, 0), 8), "")</f>
        <v/>
      </c>
    </row>
    <row r="31" spans="1:21" ht="18" customHeight="1">
      <c r="A31" s="50"/>
      <c r="B31" s="81" t="s">
        <v>178</v>
      </c>
      <c r="C31" s="21"/>
      <c r="D31" s="28" t="str">
        <f>IF(R31="","",IFERROR(INDEX(인컴2!E:E,MATCH(R31,인컴2!E:E,0)),IFERROR(INDEX(블루1!E:E,MATCH(R31,블루1!E:E,0)),IFERROR(INDEX(블루3!E:E,MATCH(R31,블루3!E:E,0)),R31))))</f>
        <v/>
      </c>
      <c r="E31" s="42"/>
      <c r="F31" s="63" t="str">
        <f>IF(D31="","",SUMIF(인컴2!E:E,D31,인컴2!N:N)/100000000)</f>
        <v/>
      </c>
      <c r="G31" s="62" t="str">
        <f>IFERROR(F31/$G$4, "")</f>
        <v/>
      </c>
      <c r="H31" s="61" t="str">
        <f>IFERROR(($E31-G31)*G$4*100000000/$S31, "")</f>
        <v/>
      </c>
      <c r="I31" s="64" t="str">
        <f>IFERROR(INDEX(인컴2!Q:Q,MATCH(D31,인컴2!E:E,0))/100,"")</f>
        <v/>
      </c>
      <c r="J31" s="63" t="str">
        <f>IF(D31="","",SUMIF(블루1!E:E,D31,블루1!N:N)/100000000)</f>
        <v/>
      </c>
      <c r="K31" s="62" t="str">
        <f>IFERROR(J31/K$4, "")</f>
        <v/>
      </c>
      <c r="L31" s="61" t="str">
        <f>IFERROR(($E31-K31)*K$4*100000000/$S31, "")</f>
        <v/>
      </c>
      <c r="M31" s="64" t="str">
        <f>IFERROR(INDEX(블루1!Q:Q,MATCH(D31,블루1!E:E,0))/100,"")</f>
        <v/>
      </c>
      <c r="N31" s="63" t="str">
        <f>IF(D31="","",SUMIF(블루3!E:E,D31,블루3!N:N)/100000000)</f>
        <v/>
      </c>
      <c r="O31" s="62" t="str">
        <f>IFERROR(N31/O$4, "")</f>
        <v/>
      </c>
      <c r="P31" s="61" t="str">
        <f>IFERROR(($E31-O31)*O$4*100000000/$S31, "")</f>
        <v/>
      </c>
      <c r="Q31" s="64" t="str">
        <f>IFERROR(INDEX(블루3!Q:Q,MATCH(D31,블루3!E:E,0))/100,"")</f>
        <v/>
      </c>
      <c r="R31" s="69"/>
      <c r="S31" s="7" t="str">
        <f>IFERROR(INDEX(인컴2!$E$1:$Q$51, MATCH(R31, 인컴2!E:E, 0), 8), "")</f>
        <v/>
      </c>
    </row>
    <row r="32" spans="1:21" ht="18" customHeight="1">
      <c r="A32" s="50">
        <v>1</v>
      </c>
      <c r="B32" s="41">
        <f>SUM(E31:E36)</f>
        <v>6.3E-2</v>
      </c>
      <c r="C32" s="25" t="s">
        <v>213</v>
      </c>
      <c r="D32" s="28" t="str">
        <f>IF(R32="","",IFERROR(INDEX(인컴2!E:E,MATCH(R32,인컴2!E:E,0)),IFERROR(INDEX(블루1!E:E,MATCH(R32,블루1!E:E,0)),IFERROR(INDEX(블루3!E:E,MATCH(R32,블루3!E:E,0)),R32))))</f>
        <v>TIGER 코리아휴머노이드로봇산업</v>
      </c>
      <c r="E32" s="42">
        <v>6.3E-2</v>
      </c>
      <c r="F32" s="63">
        <f>IF(D32="","",SUMIF(인컴2!E:E,D32,인컴2!N:N)/100000000)</f>
        <v>4.8825000000000003</v>
      </c>
      <c r="G32" s="62">
        <f t="shared" ref="G32:G35" si="40">IFERROR(F32/$G$4, "")</f>
        <v>6.1236272715226948E-2</v>
      </c>
      <c r="H32" s="61">
        <f t="shared" ref="H32:H35" si="41">IFERROR(($E32-G32)*G$4*100000000/$S32, "")</f>
        <v>864.06007741935207</v>
      </c>
      <c r="I32" s="64">
        <f>IFERROR(INDEX(인컴2!Q:Q,MATCH(D32,인컴2!E:E,0))/100,"")</f>
        <v>0.23180000000000001</v>
      </c>
      <c r="J32" s="63">
        <f>IF(D32="","",SUMIF(블루1!E:E,D32,블루1!N:N)/100000000)</f>
        <v>4.8825000000000003</v>
      </c>
      <c r="K32" s="62">
        <f t="shared" ref="K32:K35" si="42">IFERROR(J32/K$4, "")</f>
        <v>5.9515385179300453E-2</v>
      </c>
      <c r="L32" s="61">
        <f t="shared" ref="L32:L35" si="43">IFERROR(($E32-K32)*K$4*100000000/$S32, "")</f>
        <v>1756.4944645161274</v>
      </c>
      <c r="M32" s="64">
        <f>IFERROR(INDEX(블루1!Q:Q,MATCH(D32,블루1!E:E,0))/100,"")</f>
        <v>0.23180000000000001</v>
      </c>
      <c r="N32" s="63">
        <f>IF(D32="","",SUMIF(블루3!E:E,D32,블루3!N:N)/100000000)</f>
        <v>4.8825000000000003</v>
      </c>
      <c r="O32" s="62">
        <f t="shared" ref="O32:O35" si="44">IFERROR(N32/O$4, "")</f>
        <v>6.2063448625988601E-2</v>
      </c>
      <c r="P32" s="61">
        <f t="shared" ref="P32:P35" si="45">IFERROR(($E32-O32)*O$4*100000000/$S32, "")</f>
        <v>452.70673548386668</v>
      </c>
      <c r="Q32" s="64">
        <f>IFERROR(INDEX(블루3!Q:Q,MATCH(D32,블루3!E:E,0))/100,"")</f>
        <v>0.23180000000000001</v>
      </c>
      <c r="R32" s="69" t="s">
        <v>219</v>
      </c>
      <c r="S32" s="7">
        <f>IFERROR(INDEX(인컴2!$E$1:$Q$51, MATCH(R32, 인컴2!E:E, 0), 8), "")</f>
        <v>16275</v>
      </c>
    </row>
    <row r="33" spans="1:19" ht="18" customHeight="1">
      <c r="A33" s="50"/>
      <c r="B33" s="28"/>
      <c r="C33" s="22"/>
      <c r="D33" s="28" t="str">
        <f>IF(R33="","",IFERROR(INDEX(인컴2!E:E,MATCH(R33,인컴2!E:E,0)),IFERROR(INDEX(블루1!E:E,MATCH(R33,블루1!E:E,0)),IFERROR(INDEX(블루3!E:E,MATCH(R33,블루3!E:E,0)),R33))))</f>
        <v/>
      </c>
      <c r="E33" s="42"/>
      <c r="F33" s="63" t="str">
        <f>IF(D33="","",SUMIF(인컴2!E:E,D33,인컴2!N:N)/100000000)</f>
        <v/>
      </c>
      <c r="G33" s="62" t="str">
        <f t="shared" si="40"/>
        <v/>
      </c>
      <c r="H33" s="61" t="str">
        <f t="shared" si="41"/>
        <v/>
      </c>
      <c r="I33" s="64" t="str">
        <f>IFERROR(INDEX(인컴2!Q:Q,MATCH(D33,인컴2!E:E,0))/100,"")</f>
        <v/>
      </c>
      <c r="J33" s="63" t="str">
        <f>IF(D33="","",SUMIF(블루1!E:E,D33,블루1!N:N)/100000000)</f>
        <v/>
      </c>
      <c r="K33" s="62" t="str">
        <f t="shared" si="42"/>
        <v/>
      </c>
      <c r="L33" s="61" t="str">
        <f t="shared" si="43"/>
        <v/>
      </c>
      <c r="M33" s="64" t="str">
        <f>IFERROR(INDEX(블루1!Q:Q,MATCH(D33,블루1!E:E,0))/100,"")</f>
        <v/>
      </c>
      <c r="N33" s="63" t="str">
        <f>IF(D33="","",SUMIF(블루3!E:E,D33,블루3!N:N)/100000000)</f>
        <v/>
      </c>
      <c r="O33" s="62" t="str">
        <f t="shared" si="44"/>
        <v/>
      </c>
      <c r="P33" s="61" t="str">
        <f t="shared" si="45"/>
        <v/>
      </c>
      <c r="Q33" s="64" t="str">
        <f>IFERROR(INDEX(블루3!Q:Q,MATCH(D33,블루3!E:E,0))/100,"")</f>
        <v/>
      </c>
      <c r="R33" s="69"/>
      <c r="S33" s="7" t="str">
        <f>IFERROR(INDEX(인컴2!$E$1:$Q$51, MATCH(R33, 인컴2!E:E, 0), 8), "")</f>
        <v/>
      </c>
    </row>
    <row r="34" spans="1:19" ht="18" customHeight="1">
      <c r="A34" s="50"/>
      <c r="B34" s="34"/>
      <c r="C34" s="22"/>
      <c r="D34" s="28" t="str">
        <f>IF(R34="","",IFERROR(INDEX(인컴2!E:E,MATCH(R34,인컴2!E:E,0)),IFERROR(INDEX(블루1!E:E,MATCH(R34,블루1!E:E,0)),IFERROR(INDEX(블루3!E:E,MATCH(R34,블루3!E:E,0)),R34))))</f>
        <v/>
      </c>
      <c r="E34" s="42"/>
      <c r="F34" s="63" t="str">
        <f>IF(D34="","",SUMIF(인컴2!E:E,D34,인컴2!N:N)/100000000)</f>
        <v/>
      </c>
      <c r="G34" s="62" t="str">
        <f t="shared" si="40"/>
        <v/>
      </c>
      <c r="H34" s="61" t="str">
        <f t="shared" si="41"/>
        <v/>
      </c>
      <c r="I34" s="64" t="str">
        <f>IFERROR(INDEX(인컴2!Q:Q,MATCH(D34,인컴2!E:E,0))/100,"")</f>
        <v/>
      </c>
      <c r="J34" s="63" t="str">
        <f>IF(D34="","",SUMIF(블루1!E:E,D34,블루1!N:N)/100000000)</f>
        <v/>
      </c>
      <c r="K34" s="62" t="str">
        <f t="shared" si="42"/>
        <v/>
      </c>
      <c r="L34" s="61" t="str">
        <f t="shared" si="43"/>
        <v/>
      </c>
      <c r="M34" s="64" t="str">
        <f>IFERROR(INDEX(블루1!Q:Q,MATCH(D34,블루1!E:E,0))/100,"")</f>
        <v/>
      </c>
      <c r="N34" s="63" t="str">
        <f>IF(D34="","",SUMIF(블루3!E:E,D34,블루3!N:N)/100000000)</f>
        <v/>
      </c>
      <c r="O34" s="62" t="str">
        <f t="shared" si="44"/>
        <v/>
      </c>
      <c r="P34" s="61" t="str">
        <f t="shared" si="45"/>
        <v/>
      </c>
      <c r="Q34" s="64" t="str">
        <f>IFERROR(INDEX(블루3!Q:Q,MATCH(D34,블루3!E:E,0))/100,"")</f>
        <v/>
      </c>
      <c r="R34" s="69"/>
      <c r="S34" s="7" t="str">
        <f>IFERROR(INDEX(인컴2!$E$1:$Q$51, MATCH(R34, 인컴2!E:E, 0), 8), "")</f>
        <v/>
      </c>
    </row>
    <row r="35" spans="1:19" ht="18" customHeight="1">
      <c r="A35" s="50"/>
      <c r="B35" s="34"/>
      <c r="C35" s="22"/>
      <c r="D35" s="28" t="str">
        <f>IF(R35="","",IFERROR(INDEX(인컴2!E:E,MATCH(R35,인컴2!E:E,0)),IFERROR(INDEX(블루1!E:E,MATCH(R35,블루1!E:E,0)),IFERROR(INDEX(블루3!E:E,MATCH(R35,블루3!E:E,0)),R35))))</f>
        <v/>
      </c>
      <c r="E35" s="42"/>
      <c r="F35" s="63" t="str">
        <f>IF(D35="","",SUMIF(인컴2!E:E,D35,인컴2!N:N)/100000000)</f>
        <v/>
      </c>
      <c r="G35" s="62" t="str">
        <f t="shared" si="40"/>
        <v/>
      </c>
      <c r="H35" s="61" t="str">
        <f t="shared" si="41"/>
        <v/>
      </c>
      <c r="I35" s="64" t="str">
        <f>IFERROR(INDEX(인컴2!Q:Q,MATCH(D35,인컴2!E:E,0))/100,"")</f>
        <v/>
      </c>
      <c r="J35" s="63" t="str">
        <f>IF(D35="","",SUMIF(블루1!E:E,D35,블루1!N:N)/100000000)</f>
        <v/>
      </c>
      <c r="K35" s="62" t="str">
        <f t="shared" si="42"/>
        <v/>
      </c>
      <c r="L35" s="61" t="str">
        <f t="shared" si="43"/>
        <v/>
      </c>
      <c r="M35" s="64" t="str">
        <f>IFERROR(INDEX(블루1!Q:Q,MATCH(D35,블루1!E:E,0))/100,"")</f>
        <v/>
      </c>
      <c r="N35" s="63" t="str">
        <f>IF(D35="","",SUMIF(블루3!E:E,D35,블루3!N:N)/100000000)</f>
        <v/>
      </c>
      <c r="O35" s="62" t="str">
        <f t="shared" si="44"/>
        <v/>
      </c>
      <c r="P35" s="61" t="str">
        <f t="shared" si="45"/>
        <v/>
      </c>
      <c r="Q35" s="64" t="str">
        <f>IFERROR(INDEX(블루3!Q:Q,MATCH(D35,블루3!E:E,0))/100,"")</f>
        <v/>
      </c>
      <c r="R35" s="69"/>
      <c r="S35" s="7" t="str">
        <f>IFERROR(INDEX(인컴2!$E$1:$Q$51, MATCH(R35, 인컴2!E:E, 0), 8), "")</f>
        <v/>
      </c>
    </row>
    <row r="36" spans="1:19" ht="18" customHeight="1">
      <c r="A36" s="54"/>
      <c r="B36" s="36"/>
      <c r="C36" s="23"/>
      <c r="D36" s="29" t="str">
        <f>IF(R36="","",IFERROR(INDEX(인컴2!E:E,MATCH(R36,인컴2!E:E,0)),IFERROR(INDEX(블루1!E:E,MATCH(R36,블루1!E:E,0)),IFERROR(INDEX(블루3!E:E,MATCH(R36,블루3!E:E,0)),R36))))</f>
        <v/>
      </c>
      <c r="E36" s="43"/>
      <c r="F36" s="63" t="str">
        <f>IF(D36="","",SUMIF(인컴2!E:E,D36,인컴2!N:N)/100000000)</f>
        <v/>
      </c>
      <c r="G36" s="62" t="str">
        <f>IFERROR(F36/$G$4, "")</f>
        <v/>
      </c>
      <c r="H36" s="61" t="str">
        <f>IFERROR(($E36-G36)*G$4*100000000/$S36, "")</f>
        <v/>
      </c>
      <c r="I36" s="64" t="str">
        <f>IFERROR(INDEX(인컴2!Q:Q,MATCH(D36,인컴2!E:E,0))/100,"")</f>
        <v/>
      </c>
      <c r="J36" s="63" t="str">
        <f>IF(D36="","",SUMIF(블루1!E:E,D36,블루1!N:N)/100000000)</f>
        <v/>
      </c>
      <c r="K36" s="62" t="str">
        <f>IFERROR(J36/K$4, "")</f>
        <v/>
      </c>
      <c r="L36" s="61" t="str">
        <f>IFERROR(($E36-K36)*K$4*100000000/$S36, "")</f>
        <v/>
      </c>
      <c r="M36" s="64" t="str">
        <f>IFERROR(INDEX(블루1!Q:Q,MATCH(D36,블루1!E:E,0))/100,"")</f>
        <v/>
      </c>
      <c r="N36" s="63" t="str">
        <f>IF(D36="","",SUMIF(블루3!E:E,D36,블루3!N:N)/100000000)</f>
        <v/>
      </c>
      <c r="O36" s="62" t="str">
        <f>IFERROR(N36/O$4, "")</f>
        <v/>
      </c>
      <c r="P36" s="61" t="str">
        <f>IFERROR(($E36-O36)*O$4*100000000/$S36, "")</f>
        <v/>
      </c>
      <c r="Q36" s="64" t="str">
        <f>IFERROR(INDEX(블루3!Q:Q,MATCH(D36,블루3!E:E,0))/100,"")</f>
        <v/>
      </c>
      <c r="R36" s="71"/>
      <c r="S36" s="7" t="str">
        <f>IFERROR(INDEX(인컴2!$E$1:$Q$51, MATCH(R36, 인컴2!E:E, 0), 8), "")</f>
        <v/>
      </c>
    </row>
    <row r="37" spans="1:19" ht="18" customHeight="1">
      <c r="A37" s="53"/>
      <c r="B37" s="30"/>
      <c r="C37" s="24" t="s">
        <v>238</v>
      </c>
      <c r="D37" s="30"/>
      <c r="E37" s="44">
        <f>SUM(E31:E36)</f>
        <v>6.3E-2</v>
      </c>
      <c r="F37" s="65">
        <f>SUM(F31:F36)</f>
        <v>4.8825000000000003</v>
      </c>
      <c r="G37" s="66">
        <f t="shared" si="26"/>
        <v>0.30595449883550951</v>
      </c>
      <c r="H37" s="67" t="str">
        <f t="shared" si="39"/>
        <v/>
      </c>
      <c r="I37" s="67"/>
      <c r="J37" s="68">
        <f>SUM(J31:J36)</f>
        <v>4.8825000000000003</v>
      </c>
      <c r="K37" s="66">
        <f t="shared" si="18"/>
        <v>0.31195785020120775</v>
      </c>
      <c r="L37" s="67"/>
      <c r="M37" s="67"/>
      <c r="N37" s="68">
        <f>SUM(N31:N36)</f>
        <v>4.8825000000000003</v>
      </c>
      <c r="O37" s="66">
        <f t="shared" si="19"/>
        <v>0.31319214227633063</v>
      </c>
      <c r="P37" s="67"/>
      <c r="Q37" s="67"/>
      <c r="R37" s="70"/>
      <c r="S37" s="8" t="str">
        <f>IFERROR(INDEX(인컴2!$E$1:$Q$51, MATCH(R37, 인컴2!E:E, 0), 8), "")</f>
        <v/>
      </c>
    </row>
    <row r="38" spans="1:19" ht="18" customHeight="1">
      <c r="A38" s="50">
        <v>1</v>
      </c>
      <c r="B38" s="81" t="s">
        <v>4</v>
      </c>
      <c r="C38" s="21" t="s">
        <v>118</v>
      </c>
      <c r="D38" s="28" t="str">
        <f>IF(R38="","",IFERROR(INDEX(인컴2!E:E,MATCH(R38,인컴2!E:E,0)),IFERROR(INDEX(블루1!E:E,MATCH(R38,블루1!E:E,0)),IFERROR(INDEX(블루3!E:E,MATCH(R38,블루3!E:E,0)),R38))))</f>
        <v>HD현대중공업</v>
      </c>
      <c r="E38" s="42">
        <v>0.03</v>
      </c>
      <c r="F38" s="63">
        <f>IF(D38="","",SUMIF(인컴2!E:E,D38,인컴2!N:N)/100000000)</f>
        <v>2.0190000000000001</v>
      </c>
      <c r="G38" s="62">
        <f>IFERROR(F38/$G$4, "")</f>
        <v>2.532228051449938E-2</v>
      </c>
      <c r="H38" s="61">
        <f>IFERROR(($E38-G38)*G$4*100000000/$S38, "")</f>
        <v>55.418225260029644</v>
      </c>
      <c r="I38" s="64">
        <f>IFERROR(INDEX(인컴2!Q:Q,MATCH(D38,인컴2!E:E,0))/100,"")</f>
        <v>0.2858</v>
      </c>
      <c r="J38" s="63">
        <f>IF(D38="","",SUMIF(블루1!E:E,D38,블루1!N:N)/100000000)</f>
        <v>2.0190000000000001</v>
      </c>
      <c r="K38" s="62">
        <f>IFERROR(J38/K$4, "")</f>
        <v>2.4610663118690757E-2</v>
      </c>
      <c r="L38" s="61">
        <f>IFERROR(($E38-K38)*K$4*100000000/$S38, "")</f>
        <v>65.695144279346181</v>
      </c>
      <c r="M38" s="64">
        <f>IFERROR(INDEX(블루1!Q:Q,MATCH(D38,블루1!E:E,0))/100,"")</f>
        <v>0.2858</v>
      </c>
      <c r="N38" s="63">
        <f>IF(D38="","",SUMIF(블루3!E:E,D38,블루3!N:N)/100000000)</f>
        <v>2.0190000000000001</v>
      </c>
      <c r="O38" s="62">
        <f>IFERROR(N38/O$4, "")</f>
        <v>2.5664332365769787E-2</v>
      </c>
      <c r="P38" s="61">
        <f>IFERROR(($E38-O38)*O$4*100000000/$S38, "")</f>
        <v>50.681243982169327</v>
      </c>
      <c r="Q38" s="64">
        <f>IFERROR(INDEX(블루3!Q:Q,MATCH(D38,블루3!E:E,0))/100,"")</f>
        <v>0.2858</v>
      </c>
      <c r="R38" s="69" t="s">
        <v>220</v>
      </c>
      <c r="S38" s="7">
        <f>IFERROR(INDEX(인컴2!$E$1:$Q$51, MATCH(R38, 인컴2!E:E, 0), 8), "")</f>
        <v>673000</v>
      </c>
    </row>
    <row r="39" spans="1:19" ht="18" customHeight="1">
      <c r="A39" s="51">
        <v>2</v>
      </c>
      <c r="B39" s="41">
        <f>SUM(E38:E40)</f>
        <v>0.05</v>
      </c>
      <c r="C39" s="22" t="s">
        <v>4</v>
      </c>
      <c r="D39" s="28" t="str">
        <f>IF(R39="","",IFERROR(INDEX(인컴2!E:E,MATCH(R39,인컴2!E:E,0)),IFERROR(INDEX(블루1!E:E,MATCH(R39,블루1!E:E,0)),IFERROR(INDEX(블루3!E:E,MATCH(R39,블루3!E:E,0)),R39))))</f>
        <v>STX엔진</v>
      </c>
      <c r="E39" s="42">
        <v>0.02</v>
      </c>
      <c r="F39" s="63">
        <f>IF(D39="","",SUMIF(인컴2!E:E,D39,인컴2!N:N)/100000000)</f>
        <v>0</v>
      </c>
      <c r="G39" s="62">
        <f t="shared" ref="G39:G40" si="46">IFERROR(F39/$G$4, "")</f>
        <v>0</v>
      </c>
      <c r="H39" s="61" t="str">
        <f t="shared" ref="H39:H40" si="47">IFERROR(($E39-G39)*G$4*100000000/$S39, "")</f>
        <v/>
      </c>
      <c r="I39" s="64" t="str">
        <f>IFERROR(INDEX(인컴2!Q:Q,MATCH(D39,인컴2!E:E,0))/100,"")</f>
        <v/>
      </c>
      <c r="J39" s="63">
        <f>IF(D39="","",SUMIF(블루1!E:E,D39,블루1!N:N)/100000000)</f>
        <v>0</v>
      </c>
      <c r="K39" s="62">
        <f t="shared" ref="K39:K40" si="48">IFERROR(J39/K$4, "")</f>
        <v>0</v>
      </c>
      <c r="L39" s="61" t="str">
        <f t="shared" ref="L39:L40" si="49">IFERROR(($E39-K39)*K$4*100000000/$S39, "")</f>
        <v/>
      </c>
      <c r="M39" s="64" t="str">
        <f>IFERROR(INDEX(블루1!Q:Q,MATCH(D39,블루1!E:E,0))/100,"")</f>
        <v/>
      </c>
      <c r="N39" s="63">
        <f>IF(D39="","",SUMIF(블루3!E:E,D39,블루3!N:N)/100000000)</f>
        <v>0</v>
      </c>
      <c r="O39" s="62">
        <f t="shared" ref="O39:O40" si="50">IFERROR(N39/O$4, "")</f>
        <v>0</v>
      </c>
      <c r="P39" s="61" t="str">
        <f t="shared" ref="P39:P40" si="51">IFERROR(($E39-O39)*O$4*100000000/$S39, "")</f>
        <v/>
      </c>
      <c r="Q39" s="64" t="str">
        <f>IFERROR(INDEX(블루3!Q:Q,MATCH(D39,블루3!E:E,0))/100,"")</f>
        <v/>
      </c>
      <c r="R39" s="69" t="s">
        <v>221</v>
      </c>
      <c r="S39" s="7" t="str">
        <f>IFERROR(INDEX(인컴2!$E$1:$Q$51, MATCH(R39, 인컴2!E:E, 0), 8), "")</f>
        <v/>
      </c>
    </row>
    <row r="40" spans="1:19" ht="18" customHeight="1">
      <c r="A40" s="54"/>
      <c r="B40" s="36"/>
      <c r="C40" s="23"/>
      <c r="D40" s="29" t="str">
        <f>IF(R40="","",IFERROR(INDEX(인컴2!E:E,MATCH(R40,인컴2!E:E,0)),IFERROR(INDEX(블루1!E:E,MATCH(R40,블루1!E:E,0)),IFERROR(INDEX(블루3!E:E,MATCH(R40,블루3!E:E,0)),R40))))</f>
        <v/>
      </c>
      <c r="E40" s="43"/>
      <c r="F40" s="63" t="str">
        <f>IF(D40="","",SUMIF(인컴2!E:E,D40,인컴2!N:N)/100000000)</f>
        <v/>
      </c>
      <c r="G40" s="62" t="str">
        <f t="shared" si="46"/>
        <v/>
      </c>
      <c r="H40" s="61" t="str">
        <f t="shared" si="47"/>
        <v/>
      </c>
      <c r="I40" s="64" t="str">
        <f>IFERROR(INDEX(인컴2!Q:Q,MATCH(D40,인컴2!E:E,0))/100,"")</f>
        <v/>
      </c>
      <c r="J40" s="63" t="str">
        <f>IF(D40="","",SUMIF(블루1!E:E,D40,블루1!N:N)/100000000)</f>
        <v/>
      </c>
      <c r="K40" s="62" t="str">
        <f t="shared" si="48"/>
        <v/>
      </c>
      <c r="L40" s="61" t="str">
        <f t="shared" si="49"/>
        <v/>
      </c>
      <c r="M40" s="64" t="str">
        <f>IFERROR(INDEX(블루1!Q:Q,MATCH(D40,블루1!E:E,0))/100,"")</f>
        <v/>
      </c>
      <c r="N40" s="63" t="str">
        <f>IF(D40="","",SUMIF(블루3!E:E,D40,블루3!N:N)/100000000)</f>
        <v/>
      </c>
      <c r="O40" s="62" t="str">
        <f t="shared" si="50"/>
        <v/>
      </c>
      <c r="P40" s="61" t="str">
        <f t="shared" si="51"/>
        <v/>
      </c>
      <c r="Q40" s="64" t="str">
        <f>IFERROR(INDEX(블루3!Q:Q,MATCH(D40,블루3!E:E,0))/100,"")</f>
        <v/>
      </c>
      <c r="R40" s="71"/>
      <c r="S40" s="7" t="str">
        <f>IFERROR(INDEX(인컴2!$E$1:$Q$51, MATCH(R40, 인컴2!E:E, 0), 8), "")</f>
        <v/>
      </c>
    </row>
    <row r="41" spans="1:19" ht="18" customHeight="1">
      <c r="A41" s="53"/>
      <c r="B41" s="30"/>
      <c r="C41" s="24" t="s">
        <v>239</v>
      </c>
      <c r="D41" s="30"/>
      <c r="E41" s="44">
        <f>SUM(E38:E40)</f>
        <v>0.05</v>
      </c>
      <c r="F41" s="65">
        <f>SUM(F38:F40)</f>
        <v>2.0190000000000001</v>
      </c>
      <c r="G41" s="66">
        <f t="shared" si="26"/>
        <v>0.1265175899946531</v>
      </c>
      <c r="H41" s="67" t="str">
        <f t="shared" si="39"/>
        <v/>
      </c>
      <c r="I41" s="67"/>
      <c r="J41" s="68">
        <f>SUM(J38:J40)</f>
        <v>2.0190000000000001</v>
      </c>
      <c r="K41" s="66">
        <f t="shared" si="18"/>
        <v>0.12900008183435505</v>
      </c>
      <c r="L41" s="67"/>
      <c r="M41" s="67"/>
      <c r="N41" s="68">
        <f>SUM(N38:N40)</f>
        <v>2.0190000000000001</v>
      </c>
      <c r="O41" s="66">
        <f t="shared" si="19"/>
        <v>0.12951048341134902</v>
      </c>
      <c r="P41" s="67"/>
      <c r="Q41" s="67"/>
      <c r="R41" s="70"/>
      <c r="S41" s="8" t="str">
        <f>IFERROR(INDEX(인컴2!$E$1:$Q$51, MATCH(R41, 인컴2!E:E, 0), 8), "")</f>
        <v/>
      </c>
    </row>
    <row r="42" spans="1:19" ht="18" customHeight="1">
      <c r="A42" s="50">
        <v>1</v>
      </c>
      <c r="B42" s="81" t="s">
        <v>177</v>
      </c>
      <c r="C42" s="25" t="s">
        <v>17</v>
      </c>
      <c r="D42" s="28" t="str">
        <f>IF(R42="","",IFERROR(INDEX(인컴2!E:E,MATCH(R42,인컴2!E:E,0)),IFERROR(INDEX(블루1!E:E,MATCH(R42,블루1!E:E,0)),IFERROR(INDEX(블루3!E:E,MATCH(R42,블루3!E:E,0)),R42))))</f>
        <v>두산에너빌리티</v>
      </c>
      <c r="E42" s="42">
        <v>0.04</v>
      </c>
      <c r="F42" s="63">
        <f>IF(D42="","",SUMIF(인컴2!E:E,D42,인컴2!N:N)/100000000)</f>
        <v>3</v>
      </c>
      <c r="G42" s="62">
        <f>IFERROR(F42/$G$4, "")</f>
        <v>3.7625974018572622E-2</v>
      </c>
      <c r="H42" s="61">
        <f>IFERROR(($E42-G42)*G$4*100000000/$S42, "")</f>
        <v>189.28620800000007</v>
      </c>
      <c r="I42" s="64">
        <f>IFERROR(INDEX(인컴2!Q:Q,MATCH(D42,인컴2!E:E,0))/100,"")</f>
        <v>0.10369999999999999</v>
      </c>
      <c r="J42" s="63">
        <f>IF(D42="","",SUMIF(블루1!E:E,D42,블루1!N:N)/100000000)</f>
        <v>4</v>
      </c>
      <c r="K42" s="62">
        <f>IFERROR(J42/K$4, "")</f>
        <v>4.875812405882269E-2</v>
      </c>
      <c r="L42" s="61">
        <f>IFERROR(($E42-K42)*K$4*100000000/$S42, "")</f>
        <v>-718.4955719999997</v>
      </c>
      <c r="M42" s="64">
        <f>IFERROR(INDEX(블루1!Q:Q,MATCH(D42,블루1!E:E,0))/100,"")</f>
        <v>0.54320000000000002</v>
      </c>
      <c r="N42" s="63">
        <f>IF(D42="","",SUMIF(블루3!E:E,D42,블루3!N:N)/100000000)</f>
        <v>3</v>
      </c>
      <c r="O42" s="62">
        <f>IFERROR(N42/O$4, "")</f>
        <v>3.8134223426106666E-2</v>
      </c>
      <c r="P42" s="61">
        <f>IFERROR(($E42-O42)*O$4*100000000/$S42, "")</f>
        <v>146.77969599999977</v>
      </c>
      <c r="Q42" s="64">
        <f>IFERROR(INDEX(블루3!Q:Q,MATCH(D42,블루3!E:E,0))/100,"")</f>
        <v>5.96E-2</v>
      </c>
      <c r="R42" s="69" t="s">
        <v>222</v>
      </c>
      <c r="S42" s="7">
        <f>IFERROR(INDEX(인컴2!$E$1:$Q$51, MATCH(R42, 인컴2!E:E, 0), 8), "")</f>
        <v>100000</v>
      </c>
    </row>
    <row r="43" spans="1:19" ht="18" customHeight="1">
      <c r="A43" s="50"/>
      <c r="B43" s="41">
        <f>SUM(E42:E49)</f>
        <v>0.09</v>
      </c>
      <c r="C43" s="22"/>
      <c r="D43" s="28" t="str">
        <f>IF(R43="","",IFERROR(INDEX(인컴2!E:E,MATCH(R43,인컴2!E:E,0)),IFERROR(INDEX(블루1!E:E,MATCH(R43,블루1!E:E,0)),IFERROR(INDEX(블루3!E:E,MATCH(R43,블루3!E:E,0)),R43))))</f>
        <v/>
      </c>
      <c r="E43" s="42"/>
      <c r="F43" s="63" t="str">
        <f>IF(D43="","",SUMIF(인컴2!E:E,D43,인컴2!N:N)/100000000)</f>
        <v/>
      </c>
      <c r="G43" s="62" t="str">
        <f t="shared" ref="G43:G46" si="52">IFERROR(F43/$G$4, "")</f>
        <v/>
      </c>
      <c r="H43" s="61" t="str">
        <f t="shared" ref="H43:H46" si="53">IFERROR(($E43-G43)*G$4*100000000/$S43, "")</f>
        <v/>
      </c>
      <c r="I43" s="64" t="str">
        <f>IFERROR(INDEX(인컴2!Q:Q,MATCH(D43,인컴2!E:E,0))/100,"")</f>
        <v/>
      </c>
      <c r="J43" s="63" t="str">
        <f>IF(D43="","",SUMIF(블루1!E:E,D43,블루1!N:N)/100000000)</f>
        <v/>
      </c>
      <c r="K43" s="62" t="str">
        <f t="shared" ref="K43:K46" si="54">IFERROR(J43/K$4, "")</f>
        <v/>
      </c>
      <c r="L43" s="61" t="str">
        <f t="shared" ref="L43:L46" si="55">IFERROR(($E43-K43)*K$4*100000000/$S43, "")</f>
        <v/>
      </c>
      <c r="M43" s="64" t="str">
        <f>IFERROR(INDEX(블루1!Q:Q,MATCH(D43,블루1!E:E,0))/100,"")</f>
        <v/>
      </c>
      <c r="N43" s="63" t="str">
        <f>IF(D43="","",SUMIF(블루3!E:E,D43,블루3!N:N)/100000000)</f>
        <v/>
      </c>
      <c r="O43" s="62" t="str">
        <f t="shared" ref="O43:O46" si="56">IFERROR(N43/O$4, "")</f>
        <v/>
      </c>
      <c r="P43" s="61" t="str">
        <f t="shared" ref="P43:P46" si="57">IFERROR(($E43-O43)*O$4*100000000/$S43, "")</f>
        <v/>
      </c>
      <c r="Q43" s="64" t="str">
        <f>IFERROR(INDEX(블루3!Q:Q,MATCH(D43,블루3!E:E,0))/100,"")</f>
        <v/>
      </c>
      <c r="R43" s="72"/>
      <c r="S43" s="7" t="str">
        <f>IFERROR(INDEX(인컴2!$E$1:$Q$51, MATCH(R43, 인컴2!E:E, 0), 8), "")</f>
        <v/>
      </c>
    </row>
    <row r="44" spans="1:19" ht="18" customHeight="1">
      <c r="A44" s="50">
        <v>3</v>
      </c>
      <c r="B44" s="28"/>
      <c r="C44" s="22" t="s">
        <v>214</v>
      </c>
      <c r="D44" s="28" t="str">
        <f>IF(R44="","",IFERROR(INDEX(인컴2!E:E,MATCH(R44,인컴2!E:E,0)),IFERROR(INDEX(블루1!E:E,MATCH(R44,블루1!E:E,0)),IFERROR(INDEX(블루3!E:E,MATCH(R44,블루3!E:E,0)),R44))))</f>
        <v>TIGER 코리아AI전력기기TOP3플러스</v>
      </c>
      <c r="E44" s="42">
        <v>0.05</v>
      </c>
      <c r="F44" s="63">
        <f>IF(D44="","",SUMIF(인컴2!E:E,D44,인컴2!N:N)/100000000)</f>
        <v>2.4045000000000001</v>
      </c>
      <c r="G44" s="62">
        <f t="shared" si="52"/>
        <v>3.0157218175885962E-2</v>
      </c>
      <c r="H44" s="61">
        <f t="shared" si="53"/>
        <v>6579.7785818257425</v>
      </c>
      <c r="I44" s="64">
        <f>IFERROR(INDEX(인컴2!Q:Q,MATCH(D44,인컴2!E:E,0))/100,"")</f>
        <v>7.2800000000000004E-2</v>
      </c>
      <c r="J44" s="63">
        <f>IF(D44="","",SUMIF(블루1!E:E,D44,블루1!N:N)/100000000)</f>
        <v>2.4045000000000001</v>
      </c>
      <c r="K44" s="62">
        <f t="shared" si="54"/>
        <v>2.9309727324859793E-2</v>
      </c>
      <c r="L44" s="61">
        <f t="shared" si="55"/>
        <v>7059.182927843628</v>
      </c>
      <c r="M44" s="64">
        <f>IFERROR(INDEX(블루1!Q:Q,MATCH(D44,블루1!E:E,0))/100,"")</f>
        <v>7.2800000000000004E-2</v>
      </c>
      <c r="N44" s="63">
        <f>IF(D44="","",SUMIF(블루3!E:E,D44,블루3!N:N)/100000000)</f>
        <v>2.4045000000000001</v>
      </c>
      <c r="O44" s="62">
        <f t="shared" si="56"/>
        <v>3.0564580076024493E-2</v>
      </c>
      <c r="P44" s="61">
        <f t="shared" si="57"/>
        <v>6358.8048242877921</v>
      </c>
      <c r="Q44" s="64">
        <f>IFERROR(INDEX(블루3!Q:Q,MATCH(D44,블루3!E:E,0))/100,"")</f>
        <v>7.2800000000000004E-2</v>
      </c>
      <c r="R44" s="72" t="s">
        <v>223</v>
      </c>
      <c r="S44" s="7">
        <f>IFERROR(INDEX(인컴2!$E$1:$Q$51, MATCH(R44, 인컴2!E:E, 0), 8), "")</f>
        <v>24045</v>
      </c>
    </row>
    <row r="45" spans="1:19" ht="18" customHeight="1">
      <c r="A45" s="50"/>
      <c r="B45" s="28"/>
      <c r="C45" s="25"/>
      <c r="D45" s="28" t="str">
        <f>IF(R45="","",IFERROR(INDEX(인컴2!E:E,MATCH(R45,인컴2!E:E,0)),IFERROR(INDEX(블루1!E:E,MATCH(R45,블루1!E:E,0)),IFERROR(INDEX(블루3!E:E,MATCH(R45,블루3!E:E,0)),R45))))</f>
        <v/>
      </c>
      <c r="E45" s="42"/>
      <c r="F45" s="63" t="str">
        <f>IF(D45="","",SUMIF(인컴2!E:E,D45,인컴2!N:N)/100000000)</f>
        <v/>
      </c>
      <c r="G45" s="62" t="str">
        <f t="shared" si="52"/>
        <v/>
      </c>
      <c r="H45" s="61" t="str">
        <f t="shared" si="53"/>
        <v/>
      </c>
      <c r="I45" s="64" t="str">
        <f>IFERROR(INDEX(인컴2!Q:Q,MATCH(D45,인컴2!E:E,0))/100,"")</f>
        <v/>
      </c>
      <c r="J45" s="63" t="str">
        <f>IF(D45="","",SUMIF(블루1!E:E,D45,블루1!N:N)/100000000)</f>
        <v/>
      </c>
      <c r="K45" s="62" t="str">
        <f t="shared" si="54"/>
        <v/>
      </c>
      <c r="L45" s="61" t="str">
        <f t="shared" si="55"/>
        <v/>
      </c>
      <c r="M45" s="64" t="str">
        <f>IFERROR(INDEX(블루1!Q:Q,MATCH(D45,블루1!E:E,0))/100,"")</f>
        <v/>
      </c>
      <c r="N45" s="63" t="str">
        <f>IF(D45="","",SUMIF(블루3!E:E,D45,블루3!N:N)/100000000)</f>
        <v/>
      </c>
      <c r="O45" s="62" t="str">
        <f t="shared" si="56"/>
        <v/>
      </c>
      <c r="P45" s="61" t="str">
        <f t="shared" si="57"/>
        <v/>
      </c>
      <c r="Q45" s="64" t="str">
        <f>IFERROR(INDEX(블루3!Q:Q,MATCH(D45,블루3!E:E,0))/100,"")</f>
        <v/>
      </c>
      <c r="R45" s="69"/>
      <c r="S45" s="7" t="str">
        <f>IFERROR(INDEX(인컴2!$E$1:$Q$51, MATCH(R45, 인컴2!E:E, 0), 8), "")</f>
        <v/>
      </c>
    </row>
    <row r="46" spans="1:19" ht="18" customHeight="1">
      <c r="A46" s="50"/>
      <c r="B46" s="28"/>
      <c r="C46" s="25"/>
      <c r="D46" s="28" t="str">
        <f>IF(R46="","",IFERROR(INDEX(인컴2!E:E,MATCH(R46,인컴2!E:E,0)),IFERROR(INDEX(블루1!E:E,MATCH(R46,블루1!E:E,0)),IFERROR(INDEX(블루3!E:E,MATCH(R46,블루3!E:E,0)),R46))))</f>
        <v/>
      </c>
      <c r="E46" s="42"/>
      <c r="F46" s="63" t="str">
        <f>IF(D46="","",SUMIF(인컴2!E:E,D46,인컴2!N:N)/100000000)</f>
        <v/>
      </c>
      <c r="G46" s="62" t="str">
        <f t="shared" si="52"/>
        <v/>
      </c>
      <c r="H46" s="61" t="str">
        <f t="shared" si="53"/>
        <v/>
      </c>
      <c r="I46" s="64" t="str">
        <f>IFERROR(INDEX(인컴2!Q:Q,MATCH(D46,인컴2!E:E,0))/100,"")</f>
        <v/>
      </c>
      <c r="J46" s="63" t="str">
        <f>IF(D46="","",SUMIF(블루1!E:E,D46,블루1!N:N)/100000000)</f>
        <v/>
      </c>
      <c r="K46" s="62" t="str">
        <f t="shared" si="54"/>
        <v/>
      </c>
      <c r="L46" s="61" t="str">
        <f t="shared" si="55"/>
        <v/>
      </c>
      <c r="M46" s="64" t="str">
        <f>IFERROR(INDEX(블루1!Q:Q,MATCH(D46,블루1!E:E,0))/100,"")</f>
        <v/>
      </c>
      <c r="N46" s="63" t="str">
        <f>IF(D46="","",SUMIF(블루3!E:E,D46,블루3!N:N)/100000000)</f>
        <v/>
      </c>
      <c r="O46" s="62" t="str">
        <f t="shared" si="56"/>
        <v/>
      </c>
      <c r="P46" s="61" t="str">
        <f t="shared" si="57"/>
        <v/>
      </c>
      <c r="Q46" s="64" t="str">
        <f>IFERROR(INDEX(블루3!Q:Q,MATCH(D46,블루3!E:E,0))/100,"")</f>
        <v/>
      </c>
      <c r="R46" s="69"/>
      <c r="S46" s="7" t="str">
        <f>IFERROR(INDEX(인컴2!$E$1:$Q$51, MATCH(R46, 인컴2!E:E, 0), 8), "")</f>
        <v/>
      </c>
    </row>
    <row r="47" spans="1:19" ht="18" customHeight="1">
      <c r="A47" s="50"/>
      <c r="B47" s="34"/>
      <c r="C47" s="22"/>
      <c r="D47" s="28" t="str">
        <f>IF(R47="","",IFERROR(INDEX(인컴2!E:E,MATCH(R47,인컴2!E:E,0)),IFERROR(INDEX(블루1!E:E,MATCH(R47,블루1!E:E,0)),IFERROR(INDEX(블루3!E:E,MATCH(R47,블루3!E:E,0)),R47))))</f>
        <v/>
      </c>
      <c r="E47" s="42"/>
      <c r="F47" s="63" t="str">
        <f>IF(D47="","",SUMIF(인컴2!E:E,D47,인컴2!N:N)/100000000)</f>
        <v/>
      </c>
      <c r="G47" s="62" t="str">
        <f>IFERROR(F47/$G$4, "")</f>
        <v/>
      </c>
      <c r="H47" s="61" t="str">
        <f>IFERROR(($E47-G47)*G$4*100000000/$S47, "")</f>
        <v/>
      </c>
      <c r="I47" s="64" t="str">
        <f>IFERROR(INDEX(인컴2!Q:Q,MATCH(D47,인컴2!E:E,0))/100,"")</f>
        <v/>
      </c>
      <c r="J47" s="63" t="str">
        <f>IF(D47="","",SUMIF(블루1!E:E,D47,블루1!N:N)/100000000)</f>
        <v/>
      </c>
      <c r="K47" s="62" t="str">
        <f>IFERROR(J47/K$4, "")</f>
        <v/>
      </c>
      <c r="L47" s="61" t="str">
        <f>IFERROR(($E47-K47)*K$4*100000000/$S47, "")</f>
        <v/>
      </c>
      <c r="M47" s="64" t="str">
        <f>IFERROR(INDEX(블루1!Q:Q,MATCH(D47,블루1!E:E,0))/100,"")</f>
        <v/>
      </c>
      <c r="N47" s="63" t="str">
        <f>IF(D47="","",SUMIF(블루3!E:E,D47,블루3!N:N)/100000000)</f>
        <v/>
      </c>
      <c r="O47" s="62" t="str">
        <f>IFERROR(N47/O$4, "")</f>
        <v/>
      </c>
      <c r="P47" s="61" t="str">
        <f>IFERROR(($E47-O47)*O$4*100000000/$S47, "")</f>
        <v/>
      </c>
      <c r="Q47" s="64" t="str">
        <f>IFERROR(INDEX(블루3!Q:Q,MATCH(D47,블루3!E:E,0))/100,"")</f>
        <v/>
      </c>
      <c r="R47" s="69"/>
      <c r="S47" s="7" t="str">
        <f>IFERROR(INDEX(인컴2!$E$1:$Q$51, MATCH(R47, 인컴2!E:E, 0), 8), "")</f>
        <v/>
      </c>
    </row>
    <row r="48" spans="1:19" ht="18" customHeight="1">
      <c r="A48" s="50"/>
      <c r="B48" s="34"/>
      <c r="C48" s="22"/>
      <c r="D48" s="28" t="str">
        <f>IF(R48="","",IFERROR(INDEX(인컴2!E:E,MATCH(R48,인컴2!E:E,0)),IFERROR(INDEX(블루1!E:E,MATCH(R48,블루1!E:E,0)),IFERROR(INDEX(블루3!E:E,MATCH(R48,블루3!E:E,0)),R48))))</f>
        <v/>
      </c>
      <c r="E48" s="42"/>
      <c r="F48" s="63" t="str">
        <f>IF(D48="","",SUMIF(인컴2!E:E,D48,인컴2!N:N)/100000000)</f>
        <v/>
      </c>
      <c r="G48" s="62" t="str">
        <f>IFERROR(F48/$G$4, "")</f>
        <v/>
      </c>
      <c r="H48" s="61" t="str">
        <f>IFERROR(($E48-G48)*G$4*100000000/$S48, "")</f>
        <v/>
      </c>
      <c r="I48" s="64" t="str">
        <f>IFERROR(INDEX(인컴2!Q:Q,MATCH(D48,인컴2!E:E,0))/100,"")</f>
        <v/>
      </c>
      <c r="J48" s="63" t="str">
        <f>IF(D48="","",SUMIF(블루1!E:E,D48,블루1!N:N)/100000000)</f>
        <v/>
      </c>
      <c r="K48" s="62" t="str">
        <f>IFERROR(J48/K$4, "")</f>
        <v/>
      </c>
      <c r="L48" s="61" t="str">
        <f>IFERROR(($E48-K48)*K$4*100000000/$S48, "")</f>
        <v/>
      </c>
      <c r="M48" s="64" t="str">
        <f>IFERROR(INDEX(블루1!Q:Q,MATCH(D48,블루1!E:E,0))/100,"")</f>
        <v/>
      </c>
      <c r="N48" s="63" t="str">
        <f>IF(D48="","",SUMIF(블루3!E:E,D48,블루3!N:N)/100000000)</f>
        <v/>
      </c>
      <c r="O48" s="62" t="str">
        <f>IFERROR(N48/O$4, "")</f>
        <v/>
      </c>
      <c r="P48" s="61" t="str">
        <f>IFERROR(($E48-O48)*O$4*100000000/$S48, "")</f>
        <v/>
      </c>
      <c r="Q48" s="64" t="str">
        <f>IFERROR(INDEX(블루3!Q:Q,MATCH(D48,블루3!E:E,0))/100,"")</f>
        <v/>
      </c>
      <c r="R48" s="72"/>
      <c r="S48" s="7" t="str">
        <f>IFERROR(INDEX(인컴2!$E$1:$Q$51, MATCH(R48, 인컴2!E:E, 0), 8), "")</f>
        <v/>
      </c>
    </row>
    <row r="49" spans="1:20" ht="18" customHeight="1">
      <c r="A49" s="51"/>
      <c r="B49" s="34"/>
      <c r="C49" s="22"/>
      <c r="D49" s="28" t="str">
        <f>IF(R49="","",IFERROR(INDEX(인컴2!E:E,MATCH(R49,인컴2!E:E,0)),IFERROR(INDEX(블루1!E:E,MATCH(R49,블루1!E:E,0)),IFERROR(INDEX(블루3!E:E,MATCH(R49,블루3!E:E,0)),R49))))</f>
        <v/>
      </c>
      <c r="E49" s="42"/>
      <c r="F49" s="63" t="str">
        <f>IF(D49="","",SUMIF(인컴2!E:E,D49,인컴2!N:N)/100000000)</f>
        <v/>
      </c>
      <c r="G49" s="62" t="str">
        <f t="shared" ref="G49" si="58">IFERROR(F49/$G$4, "")</f>
        <v/>
      </c>
      <c r="H49" s="61" t="str">
        <f t="shared" ref="H49" si="59">IFERROR(($E49-G49)*G$4*100000000/$S49, "")</f>
        <v/>
      </c>
      <c r="I49" s="64" t="str">
        <f>IFERROR(INDEX(인컴2!Q:Q,MATCH(D49,인컴2!E:E,0))/100,"")</f>
        <v/>
      </c>
      <c r="J49" s="63" t="str">
        <f>IF(D49="","",SUMIF(블루1!E:E,D49,블루1!N:N)/100000000)</f>
        <v/>
      </c>
      <c r="K49" s="62" t="str">
        <f t="shared" ref="K49" si="60">IFERROR(J49/K$4, "")</f>
        <v/>
      </c>
      <c r="L49" s="61" t="str">
        <f t="shared" ref="L49" si="61">IFERROR(($E49-K49)*K$4*100000000/$S49, "")</f>
        <v/>
      </c>
      <c r="M49" s="64" t="str">
        <f>IFERROR(INDEX(블루1!Q:Q,MATCH(D49,블루1!E:E,0))/100,"")</f>
        <v/>
      </c>
      <c r="N49" s="63" t="str">
        <f>IF(D49="","",SUMIF(블루3!E:E,D49,블루3!N:N)/100000000)</f>
        <v/>
      </c>
      <c r="O49" s="62" t="str">
        <f t="shared" ref="O49" si="62">IFERROR(N49/O$4, "")</f>
        <v/>
      </c>
      <c r="P49" s="61" t="str">
        <f t="shared" ref="P49" si="63">IFERROR(($E49-O49)*O$4*100000000/$S49, "")</f>
        <v/>
      </c>
      <c r="Q49" s="64" t="str">
        <f>IFERROR(INDEX(블루3!Q:Q,MATCH(D49,블루3!E:E,0))/100,"")</f>
        <v/>
      </c>
      <c r="R49" s="72"/>
      <c r="S49" s="7" t="str">
        <f>IFERROR(INDEX(인컴2!$E$1:$Q$51, MATCH(R49, 인컴2!E:E, 0), 8), "")</f>
        <v/>
      </c>
    </row>
    <row r="50" spans="1:20" ht="18" customHeight="1">
      <c r="A50" s="53"/>
      <c r="B50" s="30"/>
      <c r="C50" s="24" t="s">
        <v>240</v>
      </c>
      <c r="D50" s="30"/>
      <c r="E50" s="44">
        <f>SUM(E42:E49)</f>
        <v>0.09</v>
      </c>
      <c r="F50" s="65">
        <f>SUM(F42:F49)</f>
        <v>5.4045000000000005</v>
      </c>
      <c r="G50" s="66">
        <f t="shared" si="26"/>
        <v>0.33866484156815391</v>
      </c>
      <c r="H50" s="67" t="str">
        <f t="shared" ref="H50:H76" si="64">IFERROR(($E50-G50)*F$4*100000000/$S50, "")</f>
        <v/>
      </c>
      <c r="I50" s="67"/>
      <c r="J50" s="68">
        <f>SUM(J42:J49)</f>
        <v>6.4045000000000005</v>
      </c>
      <c r="K50" s="66">
        <f t="shared" si="18"/>
        <v>0.40920308276776962</v>
      </c>
      <c r="L50" s="67"/>
      <c r="M50" s="67"/>
      <c r="N50" s="68">
        <f>SUM(N42:N49)</f>
        <v>5.4045000000000005</v>
      </c>
      <c r="O50" s="66">
        <f t="shared" si="19"/>
        <v>0.34667627914642685</v>
      </c>
      <c r="P50" s="67"/>
      <c r="Q50" s="67"/>
      <c r="R50" s="70"/>
      <c r="S50" s="8" t="str">
        <f>IFERROR(INDEX(인컴2!$E$1:$Q$51, MATCH(R50, 인컴2!E:E, 0), 8), "")</f>
        <v/>
      </c>
    </row>
    <row r="51" spans="1:20" ht="18" customHeight="1">
      <c r="A51" s="50">
        <v>1</v>
      </c>
      <c r="B51" s="81" t="s">
        <v>172</v>
      </c>
      <c r="C51" s="25" t="s">
        <v>174</v>
      </c>
      <c r="D51" s="28" t="str">
        <f>IF(R51="","",IFERROR(INDEX(인컴2!E:E,MATCH(R51,인컴2!E:E,0)),IFERROR(INDEX(블루1!E:E,MATCH(R51,블루1!E:E,0)),IFERROR(INDEX(블루3!E:E,MATCH(R51,블루3!E:E,0)),R51))))</f>
        <v>SOL 자동차TOP3플러스</v>
      </c>
      <c r="E51" s="42">
        <v>3.5000000000000003E-2</v>
      </c>
      <c r="F51" s="63">
        <f>IF(D51="","",SUMIF(인컴2!E:E,D51,인컴2!N:N)/100000000)</f>
        <v>2.6221000000000001</v>
      </c>
      <c r="G51" s="62">
        <f>IFERROR(F51/$G$4, "")</f>
        <v>3.2886355491366426E-2</v>
      </c>
      <c r="H51" s="61">
        <f>IFERROR(($E51-G51)*G$4*100000000/$S51, "")</f>
        <v>417.76259791769991</v>
      </c>
      <c r="I51" s="64">
        <f>IFERROR(INDEX(인컴2!Q:Q,MATCH(D51,인컴2!E:E,0))/100,"")</f>
        <v>0.36409999999999998</v>
      </c>
      <c r="J51" s="63">
        <f>IF(D51="","",SUMIF(블루1!E:E,D51,블루1!N:N)/100000000)</f>
        <v>2.6221000000000001</v>
      </c>
      <c r="K51" s="62">
        <f>IFERROR(J51/K$4, "")</f>
        <v>3.1962169273659746E-2</v>
      </c>
      <c r="L51" s="61">
        <f>IFERROR(($E51-K51)*K$4*100000000/$S51, "")</f>
        <v>617.78972359940565</v>
      </c>
      <c r="M51" s="64">
        <f>IFERROR(INDEX(블루1!Q:Q,MATCH(D51,블루1!E:E,0))/100,"")</f>
        <v>0.36359999999999998</v>
      </c>
      <c r="N51" s="63">
        <f>IF(D51="","",SUMIF(블루3!E:E,D51,블루3!N:N)/100000000)</f>
        <v>2.6221000000000001</v>
      </c>
      <c r="O51" s="62">
        <f>IFERROR(N51/O$4, "")</f>
        <v>3.3330582415198096E-2</v>
      </c>
      <c r="P51" s="61">
        <f>IFERROR(($E51-O51)*O$4*100000000/$S51, "")</f>
        <v>325.56329697570658</v>
      </c>
      <c r="Q51" s="64">
        <f>IFERROR(INDEX(블루3!Q:Q,MATCH(D51,블루3!E:E,0))/100,"")</f>
        <v>0.36329999999999996</v>
      </c>
      <c r="R51" s="69" t="s">
        <v>224</v>
      </c>
      <c r="S51" s="58">
        <f>IFERROR(INDEX(인컴2!$E$1:$Q$51, MATCH(R51, 인컴2!E:E, 0), 8), "")</f>
        <v>40340</v>
      </c>
    </row>
    <row r="52" spans="1:20" ht="18" customHeight="1">
      <c r="A52" s="51">
        <v>2</v>
      </c>
      <c r="B52" s="41">
        <f>SUM(E51:E55)</f>
        <v>0.08</v>
      </c>
      <c r="C52" s="22" t="s">
        <v>18</v>
      </c>
      <c r="D52" s="28" t="str">
        <f>IF(R52="","",IFERROR(INDEX(인컴2!E:E,MATCH(R52,인컴2!E:E,0)),IFERROR(INDEX(블루1!E:E,MATCH(R52,블루1!E:E,0)),IFERROR(INDEX(블루3!E:E,MATCH(R52,블루3!E:E,0)),R52))))</f>
        <v>아이에스동서</v>
      </c>
      <c r="E52" s="42">
        <v>1.4999999999999999E-2</v>
      </c>
      <c r="F52" s="63">
        <f>IF(D52="","",SUMIF(인컴2!E:E,D52,인컴2!N:N)/100000000)</f>
        <v>1.2210080000000001</v>
      </c>
      <c r="G52" s="62">
        <f t="shared" ref="G52:G55" si="65">IFERROR(F52/$G$4, "")</f>
        <v>1.5313871761489775E-2</v>
      </c>
      <c r="H52" s="61">
        <f t="shared" ref="H52:H55" si="66">IFERROR(($E52-G52)*G$4*100000000/$S52, "")</f>
        <v>-92.006147058824268</v>
      </c>
      <c r="I52" s="64">
        <f>IFERROR(INDEX(인컴2!Q:Q,MATCH(D52,인컴2!E:E,0))/100,"")</f>
        <v>7.1999999999999998E-3</v>
      </c>
      <c r="J52" s="63">
        <f>IF(D52="","",SUMIF(블루1!E:E,D52,블루1!N:N)/100000000)</f>
        <v>2.7471999999999999</v>
      </c>
      <c r="K52" s="62">
        <f t="shared" ref="K52:K55" si="67">IFERROR(J52/K$4, "")</f>
        <v>3.3487079603599423E-2</v>
      </c>
      <c r="L52" s="61">
        <f t="shared" ref="L52:L55" si="68">IFERROR(($E52-K52)*K$4*100000000/$S52, "")</f>
        <v>-5575.8670569852939</v>
      </c>
      <c r="M52" s="64">
        <f>IFERROR(INDEX(블루1!Q:Q,MATCH(D52,블루1!E:E,0))/100,"")</f>
        <v>0.36630000000000001</v>
      </c>
      <c r="N52" s="63">
        <f>IF(D52="","",SUMIF(블루3!E:E,D52,블루3!N:N)/100000000)</f>
        <v>1.2210080000000001</v>
      </c>
      <c r="O52" s="62">
        <f t="shared" ref="O52:O55" si="69">IFERROR(N52/O$4, "")</f>
        <v>1.5520730625687883E-2</v>
      </c>
      <c r="P52" s="61">
        <f t="shared" ref="P52:P55" si="70">IFERROR(($E52-O52)*O$4*100000000/$S52, "")</f>
        <v>-150.60887500000084</v>
      </c>
      <c r="Q52" s="64">
        <f>IFERROR(INDEX(블루3!Q:Q,MATCH(D52,블루3!E:E,0))/100,"")</f>
        <v>7.1999999999999998E-3</v>
      </c>
      <c r="R52" s="69" t="s">
        <v>225</v>
      </c>
      <c r="S52" s="7">
        <f>IFERROR(INDEX(인컴2!$E$1:$Q$51, MATCH(R52, 인컴2!E:E, 0), 8), "")</f>
        <v>27200</v>
      </c>
    </row>
    <row r="53" spans="1:20" ht="18" customHeight="1">
      <c r="A53" s="51">
        <v>3</v>
      </c>
      <c r="B53" s="34"/>
      <c r="C53" s="22" t="s">
        <v>211</v>
      </c>
      <c r="D53" s="28" t="str">
        <f>IF(R53="","",IFERROR(INDEX(인컴2!E:E,MATCH(R53,인컴2!E:E,0)),IFERROR(INDEX(블루1!E:E,MATCH(R53,블루1!E:E,0)),IFERROR(INDEX(블루3!E:E,MATCH(R53,블루3!E:E,0)),R53))))</f>
        <v>PLUS 태양광&amp;ESS</v>
      </c>
      <c r="E53" s="42">
        <v>0.03</v>
      </c>
      <c r="F53" s="63">
        <f>IF(D53="","",SUMIF(인컴2!E:E,D53,인컴2!N:N)/100000000)</f>
        <v>2.165</v>
      </c>
      <c r="G53" s="62">
        <f t="shared" si="65"/>
        <v>2.7153411250069912E-2</v>
      </c>
      <c r="H53" s="61">
        <f t="shared" si="66"/>
        <v>524.16779676674298</v>
      </c>
      <c r="I53" s="64">
        <f>IFERROR(INDEX(인컴2!Q:Q,MATCH(D53,인컴2!E:E,0))/100,"")</f>
        <v>-3.9699999999999999E-2</v>
      </c>
      <c r="J53" s="63">
        <f>IF(D53="","",SUMIF(블루1!E:E,D53,블루1!N:N)/100000000)</f>
        <v>2.165</v>
      </c>
      <c r="K53" s="62">
        <f t="shared" si="67"/>
        <v>2.6390334646837783E-2</v>
      </c>
      <c r="L53" s="61">
        <f t="shared" si="68"/>
        <v>683.89912471131618</v>
      </c>
      <c r="M53" s="64">
        <f>IFERROR(INDEX(블루1!Q:Q,MATCH(D53,블루1!E:E,0))/100,"")</f>
        <v>-3.9699999999999999E-2</v>
      </c>
      <c r="N53" s="63">
        <f>IF(D53="","",SUMIF(블루3!E:E,D53,블루3!N:N)/100000000)</f>
        <v>2.165</v>
      </c>
      <c r="O53" s="62">
        <f t="shared" si="69"/>
        <v>2.7520197905840309E-2</v>
      </c>
      <c r="P53" s="61">
        <f t="shared" si="70"/>
        <v>450.54219861431824</v>
      </c>
      <c r="Q53" s="64">
        <f>IFERROR(INDEX(블루3!Q:Q,MATCH(D53,블루3!E:E,0))/100,"")</f>
        <v>-3.9699999999999999E-2</v>
      </c>
      <c r="R53" s="69" t="s">
        <v>226</v>
      </c>
      <c r="S53" s="7">
        <f>IFERROR(INDEX(인컴2!$E$1:$Q$51, MATCH(R53, 인컴2!E:E, 0), 8), "")</f>
        <v>43300</v>
      </c>
    </row>
    <row r="54" spans="1:20" ht="18" customHeight="1">
      <c r="A54" s="51"/>
      <c r="B54" s="34"/>
      <c r="C54" s="22"/>
      <c r="D54" s="28" t="str">
        <f>IF(R54="","",IFERROR(INDEX(인컴2!E:E,MATCH(R54,인컴2!E:E,0)),IFERROR(INDEX(블루1!E:E,MATCH(R54,블루1!E:E,0)),IFERROR(INDEX(블루3!E:E,MATCH(R54,블루3!E:E,0)),R54))))</f>
        <v/>
      </c>
      <c r="E54" s="42"/>
      <c r="F54" s="63" t="str">
        <f>IF(D54="","",SUMIF(인컴2!E:E,D54,인컴2!N:N)/100000000)</f>
        <v/>
      </c>
      <c r="G54" s="62" t="str">
        <f t="shared" si="65"/>
        <v/>
      </c>
      <c r="H54" s="61" t="str">
        <f t="shared" si="66"/>
        <v/>
      </c>
      <c r="I54" s="64" t="str">
        <f>IFERROR(INDEX(인컴2!Q:Q,MATCH(D54,인컴2!E:E,0))/100,"")</f>
        <v/>
      </c>
      <c r="J54" s="63" t="str">
        <f>IF(D54="","",SUMIF(블루1!E:E,D54,블루1!N:N)/100000000)</f>
        <v/>
      </c>
      <c r="K54" s="62" t="str">
        <f t="shared" si="67"/>
        <v/>
      </c>
      <c r="L54" s="61" t="str">
        <f t="shared" si="68"/>
        <v/>
      </c>
      <c r="M54" s="64" t="str">
        <f>IFERROR(INDEX(블루1!Q:Q,MATCH(D54,블루1!E:E,0))/100,"")</f>
        <v/>
      </c>
      <c r="N54" s="63" t="str">
        <f>IF(D54="","",SUMIF(블루3!E:E,D54,블루3!N:N)/100000000)</f>
        <v/>
      </c>
      <c r="O54" s="62" t="str">
        <f t="shared" si="69"/>
        <v/>
      </c>
      <c r="P54" s="61" t="str">
        <f t="shared" si="70"/>
        <v/>
      </c>
      <c r="Q54" s="64" t="str">
        <f>IFERROR(INDEX(블루3!Q:Q,MATCH(D54,블루3!E:E,0))/100,"")</f>
        <v/>
      </c>
      <c r="R54" s="101"/>
      <c r="S54" s="7" t="str">
        <f>IFERROR(INDEX(인컴2!$E$1:$Q$51, MATCH(R54, 인컴2!E:E, 0), 8), "")</f>
        <v/>
      </c>
    </row>
    <row r="55" spans="1:20" ht="18" customHeight="1">
      <c r="A55" s="54"/>
      <c r="B55" s="36"/>
      <c r="C55" s="22"/>
      <c r="D55" s="28" t="str">
        <f>IF(R55="","",IFERROR(INDEX(인컴2!E:E,MATCH(R55,인컴2!E:E,0)),IFERROR(INDEX(블루1!E:E,MATCH(R55,블루1!E:E,0)),IFERROR(INDEX(블루3!E:E,MATCH(R55,블루3!E:E,0)),R55))))</f>
        <v/>
      </c>
      <c r="E55" s="42"/>
      <c r="F55" s="63" t="str">
        <f>IF(D55="","",SUMIF(인컴2!E:E,D55,인컴2!N:N)/100000000)</f>
        <v/>
      </c>
      <c r="G55" s="62" t="str">
        <f t="shared" si="65"/>
        <v/>
      </c>
      <c r="H55" s="61" t="str">
        <f t="shared" si="66"/>
        <v/>
      </c>
      <c r="I55" s="64" t="str">
        <f>IFERROR(INDEX(인컴2!Q:Q,MATCH(D55,인컴2!E:E,0))/100,"")</f>
        <v/>
      </c>
      <c r="J55" s="63" t="str">
        <f>IF(D55="","",SUMIF(블루1!E:E,D55,블루1!N:N)/100000000)</f>
        <v/>
      </c>
      <c r="K55" s="62" t="str">
        <f t="shared" si="67"/>
        <v/>
      </c>
      <c r="L55" s="61" t="str">
        <f t="shared" si="68"/>
        <v/>
      </c>
      <c r="M55" s="64" t="str">
        <f>IFERROR(INDEX(블루1!Q:Q,MATCH(D55,블루1!E:E,0))/100,"")</f>
        <v/>
      </c>
      <c r="N55" s="63" t="str">
        <f>IF(D55="","",SUMIF(블루3!E:E,D55,블루3!N:N)/100000000)</f>
        <v/>
      </c>
      <c r="O55" s="62" t="str">
        <f t="shared" si="69"/>
        <v/>
      </c>
      <c r="P55" s="61" t="str">
        <f t="shared" si="70"/>
        <v/>
      </c>
      <c r="Q55" s="64" t="str">
        <f>IFERROR(INDEX(블루3!Q:Q,MATCH(D55,블루3!E:E,0))/100,"")</f>
        <v/>
      </c>
      <c r="R55" s="69"/>
      <c r="S55" s="7" t="str">
        <f>IFERROR(INDEX(인컴2!$E$1:$Q$51, MATCH(R55, 인컴2!E:E, 0), 8), "")</f>
        <v/>
      </c>
    </row>
    <row r="56" spans="1:20" ht="18" customHeight="1">
      <c r="A56" s="53"/>
      <c r="B56" s="30"/>
      <c r="C56" s="26" t="s">
        <v>241</v>
      </c>
      <c r="D56" s="30"/>
      <c r="E56" s="44">
        <f>SUM(E51:E55)</f>
        <v>0.08</v>
      </c>
      <c r="F56" s="65">
        <f>SUM(F51:F55)</f>
        <v>6.008108</v>
      </c>
      <c r="G56" s="66">
        <f t="shared" ref="G56:G83" si="71">IFERROR(F56/$F$4, "")</f>
        <v>0.37648902654165189</v>
      </c>
      <c r="H56" s="67" t="str">
        <f t="shared" si="64"/>
        <v/>
      </c>
      <c r="I56" s="67"/>
      <c r="J56" s="68">
        <f>SUM(J51:J55)</f>
        <v>7.5343</v>
      </c>
      <c r="K56" s="66">
        <f t="shared" ref="K56:K83" si="72">IFERROR(J56/J$4, "")</f>
        <v>0.48138945842723185</v>
      </c>
      <c r="L56" s="67"/>
      <c r="M56" s="67"/>
      <c r="N56" s="68">
        <f>SUM(N51:N55)</f>
        <v>6.008108</v>
      </c>
      <c r="O56" s="66">
        <f t="shared" ref="O56:O83" si="73">IFERROR(N56/N$4, "")</f>
        <v>0.38539523103892681</v>
      </c>
      <c r="P56" s="67"/>
      <c r="Q56" s="67"/>
      <c r="R56" s="70"/>
      <c r="S56" s="8" t="str">
        <f>IFERROR(INDEX(인컴2!$E$1:$Q$51, MATCH(R56, 인컴2!E:E, 0), 8), "")</f>
        <v/>
      </c>
    </row>
    <row r="57" spans="1:20" ht="18" customHeight="1">
      <c r="A57" s="50"/>
      <c r="B57" s="81" t="s">
        <v>175</v>
      </c>
      <c r="C57" s="22"/>
      <c r="D57" s="28" t="str">
        <f>IF(R57="","",IFERROR(INDEX(인컴2!E:E,MATCH(R57,인컴2!E:E,0)),IFERROR(INDEX(블루1!E:E,MATCH(R57,블루1!E:E,0)),IFERROR(INDEX(블루3!E:E,MATCH(R57,블루3!E:E,0)),R57))))</f>
        <v/>
      </c>
      <c r="E57" s="42"/>
      <c r="F57" s="63" t="str">
        <f>IF(D57="","",SUMIF(인컴2!E:E,D57,인컴2!N:N)/100000000)</f>
        <v/>
      </c>
      <c r="G57" s="62" t="str">
        <f>IFERROR(F57/$G$4, "")</f>
        <v/>
      </c>
      <c r="H57" s="61" t="str">
        <f>IFERROR(($E57-G57)*G$4*100000000/$S57, "")</f>
        <v/>
      </c>
      <c r="I57" s="64" t="str">
        <f>IFERROR(INDEX(인컴2!Q:Q,MATCH(D57,인컴2!E:E,0))/100,"")</f>
        <v/>
      </c>
      <c r="J57" s="63" t="str">
        <f>IF(D57="","",SUMIF(블루1!E:E,D57,블루1!N:N)/100000000)</f>
        <v/>
      </c>
      <c r="K57" s="62" t="str">
        <f>IFERROR(J57/K$4, "")</f>
        <v/>
      </c>
      <c r="L57" s="61" t="str">
        <f>IFERROR(($E57-K57)*K$4*100000000/$S57, "")</f>
        <v/>
      </c>
      <c r="M57" s="64" t="str">
        <f>IFERROR(INDEX(블루1!Q:Q,MATCH(D57,블루1!E:E,0))/100,"")</f>
        <v/>
      </c>
      <c r="N57" s="63" t="str">
        <f>IF(D57="","",SUMIF(블루3!E:E,D57,블루3!N:N)/100000000)</f>
        <v/>
      </c>
      <c r="O57" s="62" t="str">
        <f>IFERROR(N57/O$4, "")</f>
        <v/>
      </c>
      <c r="P57" s="61" t="str">
        <f>IFERROR(($E57-O57)*O$4*100000000/$S57, "")</f>
        <v/>
      </c>
      <c r="Q57" s="64" t="str">
        <f>IFERROR(INDEX(블루3!Q:Q,MATCH(D57,블루3!E:E,0))/100,"")</f>
        <v/>
      </c>
      <c r="R57" s="69"/>
      <c r="S57" s="7" t="str">
        <f>IFERROR(INDEX(인컴2!$E$1:$Q$51, MATCH(R57, 인컴2!E:E, 0), 8), "")</f>
        <v/>
      </c>
    </row>
    <row r="58" spans="1:20" ht="18" customHeight="1">
      <c r="A58" s="50"/>
      <c r="B58" s="41">
        <f>SUM(E57:E60)</f>
        <v>0</v>
      </c>
      <c r="C58" s="21"/>
      <c r="D58" s="28" t="str">
        <f>IF(R58="","",IFERROR(INDEX(인컴2!E:E,MATCH(R58,인컴2!E:E,0)),IFERROR(INDEX(블루1!E:E,MATCH(R58,블루1!E:E,0)),IFERROR(INDEX(블루3!E:E,MATCH(R58,블루3!E:E,0)),R58))))</f>
        <v/>
      </c>
      <c r="E58" s="42"/>
      <c r="F58" s="63" t="str">
        <f>IF(D58="","",SUMIF(인컴2!E:E,D58,인컴2!N:N)/100000000)</f>
        <v/>
      </c>
      <c r="G58" s="62" t="str">
        <f t="shared" ref="G58:G60" si="74">IFERROR(F58/$G$4, "")</f>
        <v/>
      </c>
      <c r="H58" s="61" t="str">
        <f t="shared" ref="H58:H60" si="75">IFERROR(($E58-G58)*G$4*100000000/$S58, "")</f>
        <v/>
      </c>
      <c r="I58" s="64" t="str">
        <f>IFERROR(INDEX(인컴2!Q:Q,MATCH(D58,인컴2!E:E,0))/100,"")</f>
        <v/>
      </c>
      <c r="J58" s="63" t="str">
        <f>IF(D58="","",SUMIF(블루1!E:E,D58,블루1!N:N)/100000000)</f>
        <v/>
      </c>
      <c r="K58" s="62" t="str">
        <f t="shared" ref="K58:K60" si="76">IFERROR(J58/K$4, "")</f>
        <v/>
      </c>
      <c r="L58" s="61" t="str">
        <f t="shared" ref="L58:L60" si="77">IFERROR(($E58-K58)*K$4*100000000/$S58, "")</f>
        <v/>
      </c>
      <c r="M58" s="64" t="str">
        <f>IFERROR(INDEX(블루1!Q:Q,MATCH(D58,블루1!E:E,0))/100,"")</f>
        <v/>
      </c>
      <c r="N58" s="63" t="str">
        <f>IF(D58="","",SUMIF(블루3!E:E,D58,블루3!N:N)/100000000)</f>
        <v/>
      </c>
      <c r="O58" s="62" t="str">
        <f t="shared" ref="O58:O60" si="78">IFERROR(N58/O$4, "")</f>
        <v/>
      </c>
      <c r="P58" s="61" t="str">
        <f t="shared" ref="P58:P60" si="79">IFERROR(($E58-O58)*O$4*100000000/$S58, "")</f>
        <v/>
      </c>
      <c r="Q58" s="64" t="str">
        <f>IFERROR(INDEX(블루3!Q:Q,MATCH(D58,블루3!E:E,0))/100,"")</f>
        <v/>
      </c>
      <c r="R58" s="69"/>
      <c r="S58" s="7" t="str">
        <f>IFERROR(INDEX(인컴2!$E$1:$Q$51, MATCH(R58, 인컴2!E:E, 0), 8), "")</f>
        <v/>
      </c>
    </row>
    <row r="59" spans="1:20" ht="18" customHeight="1">
      <c r="A59" s="51"/>
      <c r="B59" s="34"/>
      <c r="C59" s="22"/>
      <c r="D59" s="28"/>
      <c r="E59" s="42"/>
      <c r="F59" s="63" t="str">
        <f>IF(D59="","",SUMIF(인컴2!E:E,D59,인컴2!N:N)/100000000)</f>
        <v/>
      </c>
      <c r="G59" s="62" t="str">
        <f t="shared" si="74"/>
        <v/>
      </c>
      <c r="H59" s="61" t="str">
        <f t="shared" si="75"/>
        <v/>
      </c>
      <c r="I59" s="64" t="str">
        <f>IFERROR(INDEX(인컴2!Q:Q,MATCH(D59,인컴2!E:E,0))/100,"")</f>
        <v/>
      </c>
      <c r="J59" s="63" t="str">
        <f>IF(D59="","",SUMIF(블루1!E:E,D59,블루1!N:N)/100000000)</f>
        <v/>
      </c>
      <c r="K59" s="62" t="str">
        <f t="shared" si="76"/>
        <v/>
      </c>
      <c r="L59" s="61" t="str">
        <f t="shared" si="77"/>
        <v/>
      </c>
      <c r="M59" s="64" t="str">
        <f>IFERROR(INDEX(블루1!Q:Q,MATCH(D59,블루1!E:E,0))/100,"")</f>
        <v/>
      </c>
      <c r="N59" s="63" t="str">
        <f>IF(D59="","",SUMIF(블루3!E:E,D59,블루3!N:N)/100000000)</f>
        <v/>
      </c>
      <c r="O59" s="62" t="str">
        <f t="shared" si="78"/>
        <v/>
      </c>
      <c r="P59" s="61" t="str">
        <f t="shared" si="79"/>
        <v/>
      </c>
      <c r="Q59" s="64" t="str">
        <f>IFERROR(INDEX(블루3!Q:Q,MATCH(D59,블루3!E:E,0))/100,"")</f>
        <v/>
      </c>
      <c r="R59" s="69"/>
      <c r="S59" s="7"/>
      <c r="T59" s="11"/>
    </row>
    <row r="60" spans="1:20" ht="18" customHeight="1">
      <c r="A60" s="54"/>
      <c r="B60" s="36"/>
      <c r="C60" s="23"/>
      <c r="D60" s="29" t="str">
        <f>IF(R60="","",IFERROR(INDEX(인컴2!E:E,MATCH(R60,인컴2!E:E,0)),IFERROR(INDEX(블루1!E:E,MATCH(R60,블루1!E:E,0)),IFERROR(INDEX(블루3!E:E,MATCH(R60,블루3!E:E,0)),R60))))</f>
        <v/>
      </c>
      <c r="E60" s="43"/>
      <c r="F60" s="63" t="str">
        <f>IF(D60="","",SUMIF(인컴2!E:E,D60,인컴2!N:N)/100000000)</f>
        <v/>
      </c>
      <c r="G60" s="62" t="str">
        <f t="shared" si="74"/>
        <v/>
      </c>
      <c r="H60" s="61" t="str">
        <f t="shared" si="75"/>
        <v/>
      </c>
      <c r="I60" s="64" t="str">
        <f>IFERROR(INDEX(인컴2!Q:Q,MATCH(D60,인컴2!E:E,0))/100,"")</f>
        <v/>
      </c>
      <c r="J60" s="63" t="str">
        <f>IF(D60="","",SUMIF(블루1!E:E,D60,블루1!N:N)/100000000)</f>
        <v/>
      </c>
      <c r="K60" s="62" t="str">
        <f t="shared" si="76"/>
        <v/>
      </c>
      <c r="L60" s="61" t="str">
        <f t="shared" si="77"/>
        <v/>
      </c>
      <c r="M60" s="64" t="str">
        <f>IFERROR(INDEX(블루1!Q:Q,MATCH(D60,블루1!E:E,0))/100,"")</f>
        <v/>
      </c>
      <c r="N60" s="63" t="str">
        <f>IF(D60="","",SUMIF(블루3!E:E,D60,블루3!N:N)/100000000)</f>
        <v/>
      </c>
      <c r="O60" s="62" t="str">
        <f t="shared" si="78"/>
        <v/>
      </c>
      <c r="P60" s="61" t="str">
        <f t="shared" si="79"/>
        <v/>
      </c>
      <c r="Q60" s="64" t="str">
        <f>IFERROR(INDEX(블루3!Q:Q,MATCH(D60,블루3!E:E,0))/100,"")</f>
        <v/>
      </c>
      <c r="R60" s="71"/>
      <c r="S60" s="7" t="str">
        <f>IFERROR(INDEX(인컴2!$E$1:$Q$51, MATCH(R60, 인컴2!E:E, 0), 8), "")</f>
        <v/>
      </c>
    </row>
    <row r="61" spans="1:20" ht="18" customHeight="1">
      <c r="A61" s="53"/>
      <c r="B61" s="30"/>
      <c r="C61" s="24" t="s">
        <v>242</v>
      </c>
      <c r="D61" s="30"/>
      <c r="E61" s="44">
        <f>SUM(E57:E60)</f>
        <v>0</v>
      </c>
      <c r="F61" s="65">
        <f>SUM(F57:F60)</f>
        <v>0</v>
      </c>
      <c r="G61" s="66">
        <f t="shared" si="71"/>
        <v>0</v>
      </c>
      <c r="H61" s="67" t="str">
        <f t="shared" si="64"/>
        <v/>
      </c>
      <c r="I61" s="67"/>
      <c r="J61" s="68">
        <f>SUM(J57:J60)</f>
        <v>0</v>
      </c>
      <c r="K61" s="66">
        <f t="shared" si="72"/>
        <v>0</v>
      </c>
      <c r="L61" s="67"/>
      <c r="M61" s="67"/>
      <c r="N61" s="68">
        <f>SUM(N57:N60)</f>
        <v>0</v>
      </c>
      <c r="O61" s="66">
        <f t="shared" si="73"/>
        <v>0</v>
      </c>
      <c r="P61" s="67"/>
      <c r="Q61" s="67"/>
      <c r="R61" s="70"/>
      <c r="S61" s="8" t="str">
        <f>IFERROR(INDEX(인컴2!$E$1:$Q$51, MATCH(R61, 인컴2!E:E, 0), 8), "")</f>
        <v/>
      </c>
    </row>
    <row r="62" spans="1:20" ht="18" customHeight="1">
      <c r="A62" s="50">
        <v>1</v>
      </c>
      <c r="B62" s="81" t="s">
        <v>19</v>
      </c>
      <c r="C62" s="21" t="s">
        <v>119</v>
      </c>
      <c r="D62" s="28" t="str">
        <f>IF(R62="","",IFERROR(INDEX(인컴2!E:E,MATCH(R62,인컴2!E:E,0)),IFERROR(INDEX(블루1!E:E,MATCH(R62,블루1!E:E,0)),IFERROR(INDEX(블루3!E:E,MATCH(R62,블루3!E:E,0)),R62))))</f>
        <v>LG</v>
      </c>
      <c r="E62" s="42">
        <v>3.2000000000000001E-2</v>
      </c>
      <c r="F62" s="63">
        <f>IF(D62="","",SUMIF(인컴2!E:E,D62,인컴2!N:N)/100000000)</f>
        <v>2.52</v>
      </c>
      <c r="G62" s="62">
        <f>IFERROR(F62/$G$4, "")</f>
        <v>3.1605818175601007E-2</v>
      </c>
      <c r="H62" s="61">
        <f>IFERROR(($E62-G62)*G$4*100000000/$S62, "")</f>
        <v>22.449261714285516</v>
      </c>
      <c r="I62" s="64">
        <f>IFERROR(INDEX(인컴2!Q:Q,MATCH(D62,인컴2!E:E,0))/100,"")</f>
        <v>0.33130000000000004</v>
      </c>
      <c r="J62" s="63">
        <f>IF(D62="","",SUMIF(블루1!E:E,D62,블루1!N:N)/100000000)</f>
        <v>2.52</v>
      </c>
      <c r="K62" s="62">
        <f>IFERROR(J62/K$4, "")</f>
        <v>3.0717618157058296E-2</v>
      </c>
      <c r="L62" s="61">
        <f>IFERROR(($E62-K62)*K$4*100000000/$S62, "")</f>
        <v>75.145387428571539</v>
      </c>
      <c r="M62" s="64">
        <f>IFERROR(INDEX(블루1!Q:Q,MATCH(D62,블루1!E:E,0))/100,"")</f>
        <v>0.33130000000000004</v>
      </c>
      <c r="N62" s="63">
        <f>IF(D62="","",SUMIF(블루3!E:E,D62,블루3!N:N)/100000000)</f>
        <v>2.52</v>
      </c>
      <c r="O62" s="62">
        <f>IFERROR(N62/O$4, "")</f>
        <v>3.2032747677929595E-2</v>
      </c>
      <c r="P62" s="61">
        <f>IFERROR(($E62-O62)*O$4*100000000/$S62, "")</f>
        <v>-1.8401737142856045</v>
      </c>
      <c r="Q62" s="64">
        <f>IFERROR(INDEX(블루3!Q:Q,MATCH(D62,블루3!E:E,0))/100,"")</f>
        <v>0.33130000000000004</v>
      </c>
      <c r="R62" s="69" t="s">
        <v>266</v>
      </c>
      <c r="S62" s="7">
        <f>IFERROR(INDEX(인컴2!$E$1:$Q$51, MATCH(R62, 인컴2!E:E, 0), 8), "")</f>
        <v>140000</v>
      </c>
    </row>
    <row r="63" spans="1:20" ht="18" customHeight="1">
      <c r="A63" s="51">
        <v>2</v>
      </c>
      <c r="B63" s="41">
        <f>SUM(E62:E64)</f>
        <v>6.8999999999999992E-2</v>
      </c>
      <c r="C63" s="22" t="s">
        <v>19</v>
      </c>
      <c r="D63" s="28" t="str">
        <f>IF(R63="","",IFERROR(INDEX(인컴2!E:E,MATCH(R63,인컴2!E:E,0)),IFERROR(INDEX(블루1!E:E,MATCH(R63,블루1!E:E,0)),IFERROR(INDEX(블루3!E:E,MATCH(R63,블루3!E:E,0)),R63))))</f>
        <v>두산</v>
      </c>
      <c r="E63" s="42">
        <v>2.7E-2</v>
      </c>
      <c r="F63" s="63">
        <f>IF(D63="","",SUMIF(인컴2!E:E,D63,인컴2!N:N)/100000000)</f>
        <v>2.1097999999999999</v>
      </c>
      <c r="G63" s="62">
        <f t="shared" ref="G63:G64" si="80">IFERROR(F63/$G$4, "")</f>
        <v>2.6461093328128172E-2</v>
      </c>
      <c r="H63" s="61">
        <f t="shared" ref="H63:H64" si="81">IFERROR(($E63-G63)*G$4*100000000/$S63, "")</f>
        <v>2.2402601876955179</v>
      </c>
      <c r="I63" s="64">
        <f>IFERROR(INDEX(인컴2!Q:Q,MATCH(D63,인컴2!E:E,0))/100,"")</f>
        <v>2.0299999999999999E-2</v>
      </c>
      <c r="J63" s="63">
        <f>IF(D63="","",SUMIF(블루1!E:E,D63,블루1!N:N)/100000000)</f>
        <v>2.1097999999999999</v>
      </c>
      <c r="K63" s="62">
        <f t="shared" ref="K63:K64" si="82">IFERROR(J63/K$4, "")</f>
        <v>2.5717472534826029E-2</v>
      </c>
      <c r="L63" s="61">
        <f t="shared" ref="L63:L64" si="83">IFERROR(($E63-K63)*K$4*100000000/$S63, "")</f>
        <v>5.4856876381647561</v>
      </c>
      <c r="M63" s="64">
        <f>IFERROR(INDEX(블루1!Q:Q,MATCH(D63,블루1!E:E,0))/100,"")</f>
        <v>2.0299999999999999E-2</v>
      </c>
      <c r="N63" s="63">
        <f>IF(D63="","",SUMIF(블루3!E:E,D63,블루3!N:N)/100000000)</f>
        <v>2.1097999999999999</v>
      </c>
      <c r="O63" s="62">
        <f t="shared" ref="O63:O64" si="84">IFERROR(N63/O$4, "")</f>
        <v>2.6818528194799945E-2</v>
      </c>
      <c r="P63" s="61">
        <f t="shared" ref="P63:P64" si="85">IFERROR(($E63-O63)*O$4*100000000/$S63, "")</f>
        <v>0.74433236704900962</v>
      </c>
      <c r="Q63" s="64">
        <f>IFERROR(INDEX(블루3!Q:Q,MATCH(D63,블루3!E:E,0))/100,"")</f>
        <v>2.0199999999999999E-2</v>
      </c>
      <c r="R63" s="69" t="s">
        <v>297</v>
      </c>
      <c r="S63" s="7">
        <f>IFERROR(INDEX(인컴2!$E$1:$Q$51, MATCH(R63, 인컴2!E:E, 0), 8), "")</f>
        <v>1918000</v>
      </c>
    </row>
    <row r="64" spans="1:20" ht="18" customHeight="1">
      <c r="A64" s="54">
        <v>3</v>
      </c>
      <c r="B64" s="36"/>
      <c r="C64" s="23" t="s">
        <v>305</v>
      </c>
      <c r="D64" s="29" t="str">
        <f>IF(R64="","",IFERROR(INDEX(인컴2!E:E,MATCH(R64,인컴2!E:E,0)),IFERROR(INDEX(블루1!E:E,MATCH(R64,블루1!E:E,0)),IFERROR(INDEX(블루3!E:E,MATCH(R64,블루3!E:E,0)),R64))))</f>
        <v>TIGER 우선주</v>
      </c>
      <c r="E64" s="43">
        <v>0.01</v>
      </c>
      <c r="F64" s="63">
        <f>IF(D64="","",SUMIF(인컴2!E:E,D64,인컴2!N:N)/100000000)</f>
        <v>6.166E-2</v>
      </c>
      <c r="G64" s="62">
        <f t="shared" si="80"/>
        <v>7.7333918599506273E-4</v>
      </c>
      <c r="H64" s="61">
        <f t="shared" si="81"/>
        <v>2386.1873240350305</v>
      </c>
      <c r="I64" s="64">
        <f>IFERROR(INDEX(인컴2!Q:Q,MATCH(D64,인컴2!E:E,0))/100,"")</f>
        <v>1.3100000000000001E-2</v>
      </c>
      <c r="J64" s="63">
        <f>IF(D64="","",SUMIF(블루1!E:E,D64,블루1!N:N)/100000000)</f>
        <v>6.166E-2</v>
      </c>
      <c r="K64" s="62">
        <f t="shared" si="82"/>
        <v>7.5160648236675183E-4</v>
      </c>
      <c r="L64" s="61">
        <f t="shared" si="83"/>
        <v>2460.9669380473561</v>
      </c>
      <c r="M64" s="64">
        <f>IFERROR(INDEX(블루1!Q:Q,MATCH(D64,블루1!E:E,0))/100,"")</f>
        <v>1.3100000000000001E-2</v>
      </c>
      <c r="N64" s="63">
        <f>IF(D64="","",SUMIF(블루3!E:E,D64,블루3!N:N)/100000000)</f>
        <v>6.166E-2</v>
      </c>
      <c r="O64" s="62">
        <f t="shared" si="84"/>
        <v>7.8378540548457892E-4</v>
      </c>
      <c r="P64" s="61">
        <f t="shared" si="85"/>
        <v>2351.7188582549466</v>
      </c>
      <c r="Q64" s="64">
        <f>IFERROR(INDEX(블루3!Q:Q,MATCH(D64,블루3!E:E,0))/100,"")</f>
        <v>1.3100000000000001E-2</v>
      </c>
      <c r="R64" s="71" t="s">
        <v>299</v>
      </c>
      <c r="S64" s="7">
        <f>IFERROR(INDEX(인컴2!$E$1:$Q$51, MATCH(R64, 인컴2!E:E, 0), 8), "")</f>
        <v>30830</v>
      </c>
    </row>
    <row r="65" spans="1:19" ht="18" customHeight="1">
      <c r="A65" s="53"/>
      <c r="B65" s="30"/>
      <c r="C65" s="82" t="s">
        <v>243</v>
      </c>
      <c r="D65" s="30"/>
      <c r="E65" s="44">
        <f>SUM(E62:E64)</f>
        <v>6.8999999999999992E-2</v>
      </c>
      <c r="F65" s="65">
        <f>SUM(F62:F64)</f>
        <v>4.6914599999999993</v>
      </c>
      <c r="G65" s="66">
        <f t="shared" si="71"/>
        <v>0.29398326535726355</v>
      </c>
      <c r="H65" s="67" t="str">
        <f t="shared" si="64"/>
        <v/>
      </c>
      <c r="I65" s="67"/>
      <c r="J65" s="68">
        <f>SUM(J62:J64)</f>
        <v>4.6914599999999993</v>
      </c>
      <c r="K65" s="66">
        <f t="shared" si="72"/>
        <v>0.29975172061545474</v>
      </c>
      <c r="L65" s="67"/>
      <c r="M65" s="67"/>
      <c r="N65" s="68">
        <f>SUM(N62:N64)</f>
        <v>4.6914599999999993</v>
      </c>
      <c r="O65" s="66">
        <f t="shared" si="73"/>
        <v>0.30093771793214824</v>
      </c>
      <c r="P65" s="67"/>
      <c r="Q65" s="67"/>
      <c r="R65" s="70"/>
      <c r="S65" s="8" t="str">
        <f>IFERROR(INDEX(인컴2!$E$1:$Q$51, MATCH(R65, 인컴2!E:E, 0), 8), "")</f>
        <v/>
      </c>
    </row>
    <row r="66" spans="1:19" ht="18" customHeight="1">
      <c r="A66" s="50">
        <v>1</v>
      </c>
      <c r="B66" s="81" t="s">
        <v>20</v>
      </c>
      <c r="C66" s="21" t="s">
        <v>120</v>
      </c>
      <c r="D66" s="28" t="str">
        <f>IF(R66="","",IFERROR(INDEX(인컴2!E:E,MATCH(R66,인컴2!E:E,0)),IFERROR(INDEX(블루1!E:E,MATCH(R66,블루1!E:E,0)),IFERROR(INDEX(블루3!E:E,MATCH(R66,블루3!E:E,0)),R66))))</f>
        <v>KODEX 골드선물(H)</v>
      </c>
      <c r="E66" s="42">
        <v>2.7E-2</v>
      </c>
      <c r="F66" s="63">
        <f>IF(D66="","",SUMIF(인컴2!E:E,D66,인컴2!N:N)/100000000)</f>
        <v>1.8468</v>
      </c>
      <c r="G66" s="62">
        <f>IFERROR(F66/$G$4, "")</f>
        <v>2.3162549605833308E-2</v>
      </c>
      <c r="H66" s="61">
        <f>IFERROR(($E66-G66)*G$4*100000000/$S66, "")</f>
        <v>1192.8584421052622</v>
      </c>
      <c r="I66" s="64">
        <f>IFERROR(INDEX(인컴2!Q:Q,MATCH(D66,인컴2!E:E,0))/100,"")</f>
        <v>-9.6999999999999989E-2</v>
      </c>
      <c r="J66" s="63">
        <f>IF(D66="","",SUMIF(블루1!E:E,D66,블루1!N:N)/100000000)</f>
        <v>2.1235634999999999</v>
      </c>
      <c r="K66" s="62">
        <f>IFERROR(J66/K$4, "")</f>
        <v>2.5885243144946928E-2</v>
      </c>
      <c r="L66" s="61">
        <f>IFERROR(($E66-K66)*K$4*100000000/$S66, "")</f>
        <v>356.53796842105345</v>
      </c>
      <c r="M66" s="64">
        <f>IFERROR(INDEX(블루1!Q:Q,MATCH(D66,블루1!E:E,0))/100,"")</f>
        <v>3.1400000000000004E-2</v>
      </c>
      <c r="N66" s="63">
        <f>IF(D66="","",SUMIF(블루3!E:E,D66,블루3!N:N)/100000000)</f>
        <v>1.2825</v>
      </c>
      <c r="O66" s="62">
        <f>IFERROR(N66/O$4, "")</f>
        <v>1.6302380514660597E-2</v>
      </c>
      <c r="P66" s="61">
        <f>IFERROR(($E66-O66)*O$4*100000000/$S66, "")</f>
        <v>3280.9991999999997</v>
      </c>
      <c r="Q66" s="64">
        <f>IFERROR(INDEX(블루3!Q:Q,MATCH(D66,블루3!E:E,0))/100,"")</f>
        <v>-1.41E-2</v>
      </c>
      <c r="R66" s="69" t="s">
        <v>227</v>
      </c>
      <c r="S66" s="7">
        <f>IFERROR(INDEX(인컴2!$E$1:$Q$51, MATCH(R66, 인컴2!E:E, 0), 8), "")</f>
        <v>25650</v>
      </c>
    </row>
    <row r="67" spans="1:19" ht="18" customHeight="1">
      <c r="A67" s="50">
        <v>2</v>
      </c>
      <c r="B67" s="41">
        <f>SUM(E66:E70)</f>
        <v>8.1000000000000003E-2</v>
      </c>
      <c r="C67" s="21" t="s">
        <v>121</v>
      </c>
      <c r="D67" s="28" t="str">
        <f>IF(R67="","",IFERROR(INDEX(인컴2!E:E,MATCH(R67,인컴2!E:E,0)),IFERROR(INDEX(블루1!E:E,MATCH(R67,블루1!E:E,0)),IFERROR(INDEX(블루3!E:E,MATCH(R67,블루3!E:E,0)),R67))))</f>
        <v>제이에스링크</v>
      </c>
      <c r="E67" s="42">
        <v>2.7E-2</v>
      </c>
      <c r="F67" s="63">
        <f>IF(D67="","",SUMIF(인컴2!E:E,D67,인컴2!N:N)/100000000)</f>
        <v>2.1367500000000001</v>
      </c>
      <c r="G67" s="62">
        <f t="shared" ref="G67:G70" si="86">IFERROR(F67/$G$4, "")</f>
        <v>2.6799099994728355E-2</v>
      </c>
      <c r="H67" s="61">
        <f t="shared" ref="H67:H70" si="87">IFERROR(($E67-G67)*G$4*100000000/$S67, "")</f>
        <v>41.230863320462262</v>
      </c>
      <c r="I67" s="64">
        <f>IFERROR(INDEX(인컴2!Q:Q,MATCH(D67,인컴2!E:E,0))/100,"")</f>
        <v>-7.7000000000000002E-3</v>
      </c>
      <c r="J67" s="63">
        <f>IF(D67="","",SUMIF(블루1!E:E,D67,블루1!N:N)/100000000)</f>
        <v>2.1367500000000001</v>
      </c>
      <c r="K67" s="62">
        <f t="shared" ref="K67:K70" si="88">IFERROR(J67/K$4, "")</f>
        <v>2.6045980395672349E-2</v>
      </c>
      <c r="L67" s="61">
        <f t="shared" ref="L67:L70" si="89">IFERROR(($E67-K67)*K$4*100000000/$S67, "")</f>
        <v>201.45556988416951</v>
      </c>
      <c r="M67" s="64">
        <f>IFERROR(INDEX(블루1!Q:Q,MATCH(D67,블루1!E:E,0))/100,"")</f>
        <v>-7.4000000000000003E-3</v>
      </c>
      <c r="N67" s="63">
        <f>IF(D67="","",SUMIF(블루3!E:E,D67,블루3!N:N)/100000000)</f>
        <v>2.1367500000000001</v>
      </c>
      <c r="O67" s="62">
        <f t="shared" ref="O67:O70" si="90">IFERROR(N67/O$4, "")</f>
        <v>2.7161100635244472E-2</v>
      </c>
      <c r="P67" s="61">
        <f t="shared" ref="P67:P70" si="91">IFERROR(($E67-O67)*O$4*100000000/$S67, "")</f>
        <v>-32.622149806950311</v>
      </c>
      <c r="Q67" s="64">
        <f>IFERROR(INDEX(블루3!Q:Q,MATCH(D67,블루3!E:E,0))/100,"")</f>
        <v>1.47E-2</v>
      </c>
      <c r="R67" s="69" t="s">
        <v>228</v>
      </c>
      <c r="S67" s="7">
        <f>IFERROR(INDEX(인컴2!$E$1:$Q$51, MATCH(R67, 인컴2!E:E, 0), 8), "")</f>
        <v>38850</v>
      </c>
    </row>
    <row r="68" spans="1:19" ht="18" customHeight="1">
      <c r="A68" s="50">
        <v>3</v>
      </c>
      <c r="B68" s="28"/>
      <c r="C68" s="25" t="s">
        <v>234</v>
      </c>
      <c r="D68" s="28" t="str">
        <f>IF(R68="","",IFERROR(INDEX(인컴2!E:E,MATCH(R68,인컴2!E:E,0)),IFERROR(INDEX(블루1!E:E,MATCH(R68,블루1!E:E,0)),IFERROR(INDEX(블루3!E:E,MATCH(R68,블루3!E:E,0)),R68))))</f>
        <v>KODEX WTI원유선물인버스(H)</v>
      </c>
      <c r="E68" s="42">
        <v>2.7E-2</v>
      </c>
      <c r="F68" s="63">
        <f>IF(D68="","",SUMIF(인컴2!E:E,D68,인컴2!N:N)/100000000)</f>
        <v>2.2193999999999998</v>
      </c>
      <c r="G68" s="62">
        <f t="shared" si="86"/>
        <v>2.7835695578940025E-2</v>
      </c>
      <c r="H68" s="61">
        <f t="shared" si="87"/>
        <v>-3290.45973333333</v>
      </c>
      <c r="I68" s="64">
        <f>IFERROR(INDEX(인컴2!Q:Q,MATCH(D68,인컴2!E:E,0))/100,"")</f>
        <v>5.1999999999999998E-3</v>
      </c>
      <c r="J68" s="63">
        <f>IF(D68="","",SUMIF(블루1!E:E,D68,블루1!N:N)/100000000)</f>
        <v>2.2193999999999998</v>
      </c>
      <c r="K68" s="62">
        <f t="shared" si="88"/>
        <v>2.7053445134037769E-2</v>
      </c>
      <c r="L68" s="61">
        <f t="shared" si="89"/>
        <v>-216.51906666666005</v>
      </c>
      <c r="M68" s="64">
        <f>IFERROR(INDEX(블루1!Q:Q,MATCH(D68,블루1!E:E,0))/100,"")</f>
        <v>5.1999999999999998E-3</v>
      </c>
      <c r="N68" s="63">
        <f>IF(D68="","",SUMIF(블루3!E:E,D68,블루3!N:N)/100000000)</f>
        <v>2.2193999999999998</v>
      </c>
      <c r="O68" s="62">
        <f t="shared" si="90"/>
        <v>2.8211698490633708E-2</v>
      </c>
      <c r="P68" s="61">
        <f t="shared" si="91"/>
        <v>-4707.3434666666644</v>
      </c>
      <c r="Q68" s="64">
        <f>IFERROR(INDEX(블루3!Q:Q,MATCH(D68,블루3!E:E,0))/100,"")</f>
        <v>5.1999999999999998E-3</v>
      </c>
      <c r="R68" s="73" t="s">
        <v>229</v>
      </c>
      <c r="S68" s="7">
        <f>IFERROR(INDEX(인컴2!$E$1:$Q$51, MATCH(R68, 인컴2!E:E, 0), 8), "")</f>
        <v>2025</v>
      </c>
    </row>
    <row r="69" spans="1:19" ht="18" customHeight="1">
      <c r="A69" s="51"/>
      <c r="B69" s="34"/>
      <c r="C69" s="22"/>
      <c r="D69" s="28" t="str">
        <f>IF(R69="","",IFERROR(INDEX(인컴2!E:E,MATCH(R69,인컴2!E:E,0)),IFERROR(INDEX(블루1!E:E,MATCH(R69,블루1!E:E,0)),IFERROR(INDEX(블루3!E:E,MATCH(R69,블루3!E:E,0)),R69))))</f>
        <v/>
      </c>
      <c r="E69" s="42"/>
      <c r="F69" s="63" t="str">
        <f>IF(D69="","",SUMIF(인컴2!E:E,D69,인컴2!N:N)/100000000)</f>
        <v/>
      </c>
      <c r="G69" s="62" t="str">
        <f>IFERROR(F69/$G$4, "")</f>
        <v/>
      </c>
      <c r="H69" s="61" t="str">
        <f>IFERROR(($E69-G69)*G$4*100000000/$S69, "")</f>
        <v/>
      </c>
      <c r="I69" s="64" t="str">
        <f>IFERROR(INDEX(인컴2!Q:Q,MATCH(D69,인컴2!E:E,0))/100,"")</f>
        <v/>
      </c>
      <c r="J69" s="63" t="str">
        <f>IF(D69="","",SUMIF(블루1!E:E,D69,블루1!N:N)/100000000)</f>
        <v/>
      </c>
      <c r="K69" s="62" t="str">
        <f>IFERROR(J69/K$4, "")</f>
        <v/>
      </c>
      <c r="L69" s="61" t="str">
        <f>IFERROR(($E69-K69)*K$4*100000000/$S69, "")</f>
        <v/>
      </c>
      <c r="M69" s="64" t="str">
        <f>IFERROR(INDEX(블루1!Q:Q,MATCH(D69,블루1!E:E,0))/100,"")</f>
        <v/>
      </c>
      <c r="N69" s="63" t="str">
        <f>IF(D69="","",SUMIF(블루3!E:E,D69,블루3!N:N)/100000000)</f>
        <v/>
      </c>
      <c r="O69" s="62" t="str">
        <f>IFERROR(N69/O$4, "")</f>
        <v/>
      </c>
      <c r="P69" s="61" t="str">
        <f>IFERROR(($E69-O69)*O$4*100000000/$S69, "")</f>
        <v/>
      </c>
      <c r="Q69" s="64" t="str">
        <f>IFERROR(INDEX(블루3!Q:Q,MATCH(D69,블루3!E:E,0))/100,"")</f>
        <v/>
      </c>
      <c r="R69" s="73"/>
      <c r="S69" s="7" t="str">
        <f>IFERROR(INDEX(인컴2!$E$1:$Q$51, MATCH(R69, 인컴2!E:E, 0), 8), "")</f>
        <v/>
      </c>
    </row>
    <row r="70" spans="1:19" ht="18" customHeight="1">
      <c r="A70" s="54"/>
      <c r="B70" s="36"/>
      <c r="C70" s="23"/>
      <c r="D70" s="29" t="str">
        <f>IF(R70="","",IFERROR(INDEX(인컴2!E:E,MATCH(R70,인컴2!E:E,0)),IFERROR(INDEX(블루1!E:E,MATCH(R70,블루1!E:E,0)),IFERROR(INDEX(블루3!E:E,MATCH(R70,블루3!E:E,0)),R70))))</f>
        <v/>
      </c>
      <c r="E70" s="43"/>
      <c r="F70" s="63" t="str">
        <f>IF(D70="","",SUMIF(인컴2!E:E,D70,인컴2!N:N)/100000000)</f>
        <v/>
      </c>
      <c r="G70" s="62" t="str">
        <f t="shared" si="86"/>
        <v/>
      </c>
      <c r="H70" s="61" t="str">
        <f t="shared" si="87"/>
        <v/>
      </c>
      <c r="I70" s="64" t="str">
        <f>IFERROR(INDEX(인컴2!Q:Q,MATCH(D70,인컴2!E:E,0))/100,"")</f>
        <v/>
      </c>
      <c r="J70" s="63" t="str">
        <f>IF(D70="","",SUMIF(블루1!E:E,D70,블루1!N:N)/100000000)</f>
        <v/>
      </c>
      <c r="K70" s="62" t="str">
        <f t="shared" si="88"/>
        <v/>
      </c>
      <c r="L70" s="61" t="str">
        <f t="shared" si="89"/>
        <v/>
      </c>
      <c r="M70" s="64" t="str">
        <f>IFERROR(INDEX(블루1!Q:Q,MATCH(D70,블루1!E:E,0))/100,"")</f>
        <v/>
      </c>
      <c r="N70" s="63" t="str">
        <f>IF(D70="","",SUMIF(블루3!E:E,D70,블루3!N:N)/100000000)</f>
        <v/>
      </c>
      <c r="O70" s="62" t="str">
        <f t="shared" si="90"/>
        <v/>
      </c>
      <c r="P70" s="61" t="str">
        <f t="shared" si="91"/>
        <v/>
      </c>
      <c r="Q70" s="64" t="str">
        <f>IFERROR(INDEX(블루3!Q:Q,MATCH(D70,블루3!E:E,0))/100,"")</f>
        <v/>
      </c>
      <c r="R70" s="71"/>
      <c r="S70" s="7" t="str">
        <f>IFERROR(INDEX(인컴2!$E$1:$Q$51, MATCH(R70, 인컴2!E:E, 0), 8), "")</f>
        <v/>
      </c>
    </row>
    <row r="71" spans="1:19" ht="18" customHeight="1">
      <c r="A71" s="53"/>
      <c r="B71" s="30"/>
      <c r="C71" s="24" t="s">
        <v>244</v>
      </c>
      <c r="D71" s="30"/>
      <c r="E71" s="44">
        <f>SUM(E66:E70)</f>
        <v>8.1000000000000003E-2</v>
      </c>
      <c r="F71" s="65">
        <f>SUM(F66:F70)</f>
        <v>6.2029499999999995</v>
      </c>
      <c r="G71" s="66">
        <f t="shared" si="71"/>
        <v>0.3886985066158164</v>
      </c>
      <c r="H71" s="67" t="str">
        <f t="shared" si="64"/>
        <v/>
      </c>
      <c r="I71" s="67"/>
      <c r="J71" s="68">
        <f>SUM(J66:J70)</f>
        <v>6.4797135000000008</v>
      </c>
      <c r="K71" s="66">
        <f t="shared" si="72"/>
        <v>0.41400870320117639</v>
      </c>
      <c r="L71" s="67"/>
      <c r="M71" s="67"/>
      <c r="N71" s="68">
        <f>SUM(N66:N70)</f>
        <v>5.6386500000000002</v>
      </c>
      <c r="O71" s="66">
        <f t="shared" si="73"/>
        <v>0.36169603134591533</v>
      </c>
      <c r="P71" s="67"/>
      <c r="Q71" s="67"/>
      <c r="R71" s="70"/>
      <c r="S71" s="8" t="str">
        <f>IFERROR(INDEX(인컴2!$E$1:$Q$51, MATCH(R71, 인컴2!E:E, 0), 8), "")</f>
        <v/>
      </c>
    </row>
    <row r="72" spans="1:19" ht="18" customHeight="1">
      <c r="A72" s="50">
        <v>1</v>
      </c>
      <c r="B72" s="81" t="s">
        <v>176</v>
      </c>
      <c r="C72" s="21" t="s">
        <v>122</v>
      </c>
      <c r="D72" s="28" t="str">
        <f>IF(R72="","",IFERROR(INDEX(인컴2!E:E,MATCH(R72,인컴2!E:E,0)),IFERROR(INDEX(블루1!E:E,MATCH(R72,블루1!E:E,0)),IFERROR(INDEX(블루3!E:E,MATCH(R72,블루3!E:E,0)),R72))))</f>
        <v>KODEX 레버리지</v>
      </c>
      <c r="E72" s="42">
        <v>0.06</v>
      </c>
      <c r="F72" s="63">
        <f>IF(D72="","",SUMIF(인컴2!E:E,D72,인컴2!N:N)/100000000)</f>
        <v>4.4897999999999998</v>
      </c>
      <c r="G72" s="62">
        <f>IFERROR(F72/$G$4, "")</f>
        <v>5.6311032716195787E-2</v>
      </c>
      <c r="H72" s="61">
        <f>IFERROR(($E72-G72)*G$4*100000000/$S72, "")</f>
        <v>131.02111987170912</v>
      </c>
      <c r="I72" s="64">
        <f>IFERROR(INDEX(인컴2!Q:Q,MATCH(D72,인컴2!E:E,0))/100,"")</f>
        <v>2.0647000000000002</v>
      </c>
      <c r="J72" s="63">
        <f>IF(D72="","",SUMIF(블루1!E:E,D72,블루1!N:N)/100000000)</f>
        <v>4.4897999999999998</v>
      </c>
      <c r="K72" s="62">
        <f>IFERROR(J72/K$4, "")</f>
        <v>5.4728556349825527E-2</v>
      </c>
      <c r="L72" s="61">
        <f>IFERROR(($E72-K72)*K$4*100000000/$S72, "")</f>
        <v>192.63960176399851</v>
      </c>
      <c r="M72" s="64">
        <f>IFERROR(INDEX(블루1!Q:Q,MATCH(D72,블루1!E:E,0))/100,"")</f>
        <v>5.9158000000000008</v>
      </c>
      <c r="N72" s="63">
        <f>IF(D72="","",SUMIF(블루3!E:E,D72,블루3!N:N)/100000000)</f>
        <v>4.4897999999999998</v>
      </c>
      <c r="O72" s="62">
        <f>IFERROR(N72/O$4, "")</f>
        <v>5.7071678779511234E-2</v>
      </c>
      <c r="P72" s="61">
        <f>IFERROR(($E72-O72)*O$4*100000000/$S72, "")</f>
        <v>102.61906721902957</v>
      </c>
      <c r="Q72" s="64">
        <f>IFERROR(INDEX(블루3!Q:Q,MATCH(D72,블루3!E:E,0))/100,"")</f>
        <v>2.0030999999999999</v>
      </c>
      <c r="R72" s="69" t="s">
        <v>230</v>
      </c>
      <c r="S72" s="7">
        <f>IFERROR(INDEX(인컴2!$E$1:$Q$51, MATCH(R72, 인컴2!E:E, 0), 8), "")</f>
        <v>224490</v>
      </c>
    </row>
    <row r="73" spans="1:19" ht="18" customHeight="1">
      <c r="A73" s="50">
        <v>2</v>
      </c>
      <c r="B73" s="41">
        <f>SUM(E72:E75)</f>
        <v>0.12</v>
      </c>
      <c r="C73" s="21" t="s">
        <v>122</v>
      </c>
      <c r="D73" s="28" t="str">
        <f>IF(R73="","",IFERROR(INDEX(인컴2!E:E,MATCH(R73,인컴2!E:E,0)),IFERROR(INDEX(블루1!E:E,MATCH(R73,블루1!E:E,0)),IFERROR(INDEX(블루3!E:E,MATCH(R73,블루3!E:E,0)),R73))))</f>
        <v>KODEX 코스닥150레버리지</v>
      </c>
      <c r="E73" s="42">
        <v>0.06</v>
      </c>
      <c r="F73" s="63">
        <f>IF(D73="","",SUMIF(인컴2!E:E,D73,인컴2!N:N)/100000000)</f>
        <v>5.0654000000000003</v>
      </c>
      <c r="G73" s="62">
        <f t="shared" ref="G73:G74" si="92">IFERROR(F73/$G$4, "")</f>
        <v>6.3530202931225924E-2</v>
      </c>
      <c r="H73" s="61">
        <f t="shared" ref="H73:H74" si="93">IFERROR(($E73-G73)*G$4*100000000/$S73, "")</f>
        <v>-2111.5580495123813</v>
      </c>
      <c r="I73" s="64">
        <f>IFERROR(INDEX(인컴2!Q:Q,MATCH(D73,인컴2!E:E,0))/100,"")</f>
        <v>-0.16109999999999999</v>
      </c>
      <c r="J73" s="63">
        <f>IF(D73="","",SUMIF(블루1!E:E,D73,블루1!N:N)/100000000)</f>
        <v>5.0654000000000003</v>
      </c>
      <c r="K73" s="62">
        <f t="shared" ref="K73:K74" si="94">IFERROR(J73/K$4, "")</f>
        <v>6.1744850401890122E-2</v>
      </c>
      <c r="L73" s="61">
        <f t="shared" ref="L73:L74" si="95">IFERROR(($E73-K73)*K$4*100000000/$S73, "")</f>
        <v>-1073.8436459114823</v>
      </c>
      <c r="M73" s="64">
        <f>IFERROR(INDEX(블루1!Q:Q,MATCH(D73,블루1!E:E,0))/100,"")</f>
        <v>-0.18010000000000001</v>
      </c>
      <c r="N73" s="63">
        <f>IF(D73="","",SUMIF(블루3!E:E,D73,블루3!N:N)/100000000)</f>
        <v>5.0654000000000003</v>
      </c>
      <c r="O73" s="62">
        <f t="shared" ref="O73:O74" si="96">IFERROR(N73/O$4, "")</f>
        <v>6.4388365114200236E-2</v>
      </c>
      <c r="P73" s="61">
        <f t="shared" ref="P73:P74" si="97">IFERROR(($E73-O73)*O$4*100000000/$S73, "")</f>
        <v>-2589.875888972249</v>
      </c>
      <c r="Q73" s="64">
        <f>IFERROR(INDEX(블루3!Q:Q,MATCH(D73,블루3!E:E,0))/100,"")</f>
        <v>-0.10279999999999999</v>
      </c>
      <c r="R73" s="69" t="s">
        <v>231</v>
      </c>
      <c r="S73" s="7">
        <f>IFERROR(INDEX(인컴2!$E$1:$Q$51, MATCH(R73, 인컴2!E:E, 0), 8), "")</f>
        <v>13330</v>
      </c>
    </row>
    <row r="74" spans="1:19" ht="18" customHeight="1">
      <c r="A74" s="50"/>
      <c r="B74" s="28"/>
      <c r="C74" s="21"/>
      <c r="D74" s="28" t="str">
        <f>IF(R74="","",IFERROR(INDEX(인컴2!E:E,MATCH(R74,인컴2!E:E,0)),IFERROR(INDEX(블루1!E:E,MATCH(R74,블루1!E:E,0)),IFERROR(INDEX(블루3!E:E,MATCH(R74,블루3!E:E,0)),R74))))</f>
        <v/>
      </c>
      <c r="E74" s="42"/>
      <c r="F74" s="63" t="str">
        <f>IF(D74="","",SUMIF(인컴2!E:E,D74,인컴2!N:N)/100000000)</f>
        <v/>
      </c>
      <c r="G74" s="62" t="str">
        <f t="shared" si="92"/>
        <v/>
      </c>
      <c r="H74" s="61" t="str">
        <f t="shared" si="93"/>
        <v/>
      </c>
      <c r="I74" s="64" t="str">
        <f>IFERROR(INDEX(인컴2!Q:Q,MATCH(D74,인컴2!E:E,0))/100,"")</f>
        <v/>
      </c>
      <c r="J74" s="63" t="str">
        <f>IF(D74="","",SUMIF(블루1!E:E,D74,블루1!N:N)/100000000)</f>
        <v/>
      </c>
      <c r="K74" s="62" t="str">
        <f t="shared" si="94"/>
        <v/>
      </c>
      <c r="L74" s="61" t="str">
        <f t="shared" si="95"/>
        <v/>
      </c>
      <c r="M74" s="64" t="str">
        <f>IFERROR(INDEX(블루1!Q:Q,MATCH(D74,블루1!E:E,0))/100,"")</f>
        <v/>
      </c>
      <c r="N74" s="63" t="str">
        <f>IF(D74="","",SUMIF(블루3!E:E,D74,블루3!N:N)/100000000)</f>
        <v/>
      </c>
      <c r="O74" s="62" t="str">
        <f t="shared" si="96"/>
        <v/>
      </c>
      <c r="P74" s="61" t="str">
        <f t="shared" si="97"/>
        <v/>
      </c>
      <c r="Q74" s="64" t="str">
        <f>IFERROR(INDEX(블루3!Q:Q,MATCH(D74,블루3!E:E,0))/100,"")</f>
        <v/>
      </c>
      <c r="R74" s="69"/>
      <c r="S74" s="7" t="str">
        <f>IFERROR(INDEX(인컴2!$E$1:$Q$51, MATCH(R74, 인컴2!E:E, 0), 8), "")</f>
        <v/>
      </c>
    </row>
    <row r="75" spans="1:19" ht="18" customHeight="1">
      <c r="A75" s="54"/>
      <c r="B75" s="36"/>
      <c r="C75" s="23"/>
      <c r="D75" s="29" t="str">
        <f>IF(R75="","",IFERROR(INDEX(인컴2!E:E,MATCH(R75,인컴2!E:E,0)),IFERROR(INDEX(블루1!E:E,MATCH(R75,블루1!E:E,0)),IFERROR(INDEX(블루3!E:E,MATCH(R75,블루3!E:E,0)),R75))))</f>
        <v/>
      </c>
      <c r="E75" s="43"/>
      <c r="F75" s="63" t="str">
        <f>IF(D75="","",SUMIF(인컴2!E:E,D75,인컴2!N:N)/100000000)</f>
        <v/>
      </c>
      <c r="G75" s="62" t="str">
        <f>IFERROR(F75/$G$4, "")</f>
        <v/>
      </c>
      <c r="H75" s="61" t="str">
        <f>IFERROR(($E75-G75)*G$4*100000000/$S75, "")</f>
        <v/>
      </c>
      <c r="I75" s="64" t="str">
        <f>IFERROR(INDEX(인컴2!Q:Q,MATCH(D75,인컴2!E:E,0))/100,"")</f>
        <v/>
      </c>
      <c r="J75" s="63" t="str">
        <f>IF(D75="","",SUMIF(블루1!E:E,D75,블루1!N:N)/100000000)</f>
        <v/>
      </c>
      <c r="K75" s="62" t="str">
        <f>IFERROR(J75/K$4, "")</f>
        <v/>
      </c>
      <c r="L75" s="61" t="str">
        <f>IFERROR(($E75-K75)*K$4*100000000/$S75, "")</f>
        <v/>
      </c>
      <c r="M75" s="64" t="str">
        <f>IFERROR(INDEX(블루1!Q:Q,MATCH(D75,블루1!E:E,0))/100,"")</f>
        <v/>
      </c>
      <c r="N75" s="63" t="str">
        <f>IF(D75="","",SUMIF(블루3!E:E,D75,블루3!N:N)/100000000)</f>
        <v/>
      </c>
      <c r="O75" s="62" t="str">
        <f>IFERROR(N75/O$4, "")</f>
        <v/>
      </c>
      <c r="P75" s="61" t="str">
        <f>IFERROR(($E75-O75)*O$4*100000000/$S75, "")</f>
        <v/>
      </c>
      <c r="Q75" s="64" t="str">
        <f>IFERROR(INDEX(블루3!Q:Q,MATCH(D75,블루3!E:E,0))/100,"")</f>
        <v/>
      </c>
      <c r="R75" s="71"/>
      <c r="S75" s="7" t="str">
        <f>IFERROR(INDEX(인컴2!$E$1:$Q$51, MATCH(R75, 인컴2!E:E, 0), 8), "")</f>
        <v/>
      </c>
    </row>
    <row r="76" spans="1:19" ht="18" customHeight="1">
      <c r="A76" s="53"/>
      <c r="B76" s="30"/>
      <c r="C76" s="82" t="s">
        <v>245</v>
      </c>
      <c r="D76" s="30"/>
      <c r="E76" s="44">
        <f>SUM(E72:E75)</f>
        <v>0.12</v>
      </c>
      <c r="F76" s="65">
        <f>SUM(F72:F75)</f>
        <v>9.5551999999999992</v>
      </c>
      <c r="G76" s="66">
        <f t="shared" si="71"/>
        <v>0.59876219708613632</v>
      </c>
      <c r="H76" s="67" t="str">
        <f t="shared" si="64"/>
        <v/>
      </c>
      <c r="I76" s="67"/>
      <c r="J76" s="68">
        <f>SUM(J72:J75)</f>
        <v>9.5551999999999992</v>
      </c>
      <c r="K76" s="66">
        <f t="shared" si="72"/>
        <v>0.61051093706965287</v>
      </c>
      <c r="L76" s="67"/>
      <c r="M76" s="67"/>
      <c r="N76" s="68">
        <f>SUM(N72:N75)</f>
        <v>9.5551999999999992</v>
      </c>
      <c r="O76" s="66">
        <f t="shared" si="73"/>
        <v>0.61292648394854976</v>
      </c>
      <c r="P76" s="67"/>
      <c r="Q76" s="67"/>
      <c r="R76" s="70"/>
      <c r="S76" s="8" t="str">
        <f>IFERROR(INDEX(인컴2!$E$1:$Q$51, MATCH(R76, 인컴2!E:E, 0), 8), "")</f>
        <v/>
      </c>
    </row>
    <row r="77" spans="1:19" ht="18" customHeight="1">
      <c r="A77" s="50">
        <v>1</v>
      </c>
      <c r="B77" s="81" t="s">
        <v>204</v>
      </c>
      <c r="C77" s="21" t="s">
        <v>123</v>
      </c>
      <c r="D77" s="28" t="str">
        <f>IF(R77="","",IFERROR(INDEX(인컴2!E:E,MATCH(R77,인컴2!E:E,0)),IFERROR(INDEX(블루1!E:E,MATCH(R77,블루1!E:E,0)),IFERROR(INDEX(블루3!E:E,MATCH(R77,블루3!E:E,0)),R77))))</f>
        <v>펩트론</v>
      </c>
      <c r="E77" s="42"/>
      <c r="F77" s="63">
        <f>IF(D77="","",SUMIF(인컴2!E:E,D77,인컴2!N:N)/100000000)</f>
        <v>7.5739999999999998</v>
      </c>
      <c r="G77" s="62">
        <f>IFERROR(F77/$G$4, "")</f>
        <v>9.4993042405556352E-2</v>
      </c>
      <c r="H77" s="61">
        <f>IFERROR(($E77-G77)*G$4*100000000/$S77, "")</f>
        <v>-2800</v>
      </c>
      <c r="I77" s="64">
        <f>IFERROR(INDEX(인컴2!Q:Q,MATCH(D77,인컴2!E:E,0))/100,"")</f>
        <v>-1.2699999999999999E-2</v>
      </c>
      <c r="J77" s="63">
        <f>IF(D77="","",SUMIF(블루1!E:E,D77,블루1!N:N)/100000000)</f>
        <v>0</v>
      </c>
      <c r="K77" s="62">
        <f>IFERROR(J77/K$4, "")</f>
        <v>0</v>
      </c>
      <c r="L77" s="61">
        <f>IFERROR(($E77-K77)*K$4*100000000/$S77, "")</f>
        <v>0</v>
      </c>
      <c r="M77" s="64" t="str">
        <f>IFERROR(INDEX(블루1!Q:Q,MATCH(D77,블루1!E:E,0))/100,"")</f>
        <v/>
      </c>
      <c r="N77" s="63">
        <f>IF(D77="","",SUMIF(블루3!E:E,D77,블루3!N:N)/100000000)</f>
        <v>0</v>
      </c>
      <c r="O77" s="62">
        <f>IFERROR(N77/O$4, "")</f>
        <v>0</v>
      </c>
      <c r="P77" s="61">
        <f>IFERROR(($E77-O77)*O$4*100000000/$S77, "")</f>
        <v>0</v>
      </c>
      <c r="Q77" s="64" t="str">
        <f>IFERROR(INDEX(블루3!Q:Q,MATCH(D77,블루3!E:E,0))/100,"")</f>
        <v/>
      </c>
      <c r="R77" s="69" t="s">
        <v>9</v>
      </c>
      <c r="S77" s="7">
        <f>IFERROR(INDEX(인컴2!$E$1:$Q$51, MATCH(R77, 인컴2!E:E, 0), 8), "")</f>
        <v>270500</v>
      </c>
    </row>
    <row r="78" spans="1:19" ht="18" customHeight="1">
      <c r="A78" s="50">
        <v>2</v>
      </c>
      <c r="B78" s="28"/>
      <c r="C78" s="25" t="s">
        <v>18</v>
      </c>
      <c r="D78" s="28" t="str">
        <f>IF(R78="","",IFERROR(INDEX(인컴2!E:E,MATCH(R78,인컴2!E:E,0)),IFERROR(INDEX(블루1!E:E,MATCH(R78,블루1!E:E,0)),IFERROR(INDEX(블루3!E:E,MATCH(R78,블루3!E:E,0)),R78))))</f>
        <v>이지스레지던스리츠</v>
      </c>
      <c r="E78" s="42"/>
      <c r="F78" s="63">
        <f>IF(D78="","",SUMIF(인컴2!E:E,D78,인컴2!N:N)/100000000)</f>
        <v>0</v>
      </c>
      <c r="G78" s="62">
        <f t="shared" ref="G78:G79" si="98">IFERROR(F78/$G$4, "")</f>
        <v>0</v>
      </c>
      <c r="H78" s="61" t="str">
        <f t="shared" ref="H78:H79" si="99">IFERROR(($E78-G78)*G$4*100000000/$S78, "")</f>
        <v/>
      </c>
      <c r="I78" s="64" t="str">
        <f>IFERROR(INDEX(인컴2!Q:Q,MATCH(D78,인컴2!E:E,0))/100,"")</f>
        <v/>
      </c>
      <c r="J78" s="63">
        <f>IF(D78="","",SUMIF(블루1!E:E,D78,블루1!N:N)/100000000)</f>
        <v>8.8257294000000002</v>
      </c>
      <c r="K78" s="62">
        <f t="shared" ref="K78:K79" si="100">IFERROR(J78/K$4, "")</f>
        <v>0.1075815022486997</v>
      </c>
      <c r="L78" s="61" t="str">
        <f t="shared" ref="L78:L79" si="101">IFERROR(($E78-K78)*K$4*100000000/$S78, "")</f>
        <v/>
      </c>
      <c r="M78" s="64">
        <f>IFERROR(INDEX(블루1!Q:Q,MATCH(D78,블루1!E:E,0))/100,"")</f>
        <v>-0.1226</v>
      </c>
      <c r="N78" s="63">
        <f>IF(D78="","",SUMIF(블루3!E:E,D78,블루3!N:N)/100000000)</f>
        <v>0</v>
      </c>
      <c r="O78" s="62">
        <f t="shared" ref="O78:O79" si="102">IFERROR(N78/O$4, "")</f>
        <v>0</v>
      </c>
      <c r="P78" s="61" t="str">
        <f t="shared" ref="P78:P79" si="103">IFERROR(($E78-O78)*O$4*100000000/$S78, "")</f>
        <v/>
      </c>
      <c r="Q78" s="64" t="str">
        <f>IFERROR(INDEX(블루3!Q:Q,MATCH(D78,블루3!E:E,0))/100,"")</f>
        <v/>
      </c>
      <c r="R78" s="69" t="s">
        <v>232</v>
      </c>
      <c r="S78" s="7" t="str">
        <f>IFERROR(INDEX(인컴2!$E$1:$Q$51, MATCH(R78, 인컴2!E:E, 0), 8), "")</f>
        <v/>
      </c>
    </row>
    <row r="79" spans="1:19" ht="18" customHeight="1">
      <c r="A79" s="50">
        <v>3</v>
      </c>
      <c r="B79" s="28"/>
      <c r="C79" s="25" t="s">
        <v>3</v>
      </c>
      <c r="D79" s="28" t="str">
        <f>IF(R79="","",IFERROR(INDEX(인컴2!E:E,MATCH(R79,인컴2!E:E,0)),IFERROR(INDEX(블루1!E:E,MATCH(R79,블루1!E:E,0)),IFERROR(INDEX(블루3!E:E,MATCH(R79,블루3!E:E,0)),R79))))</f>
        <v>금호건설</v>
      </c>
      <c r="E79" s="42"/>
      <c r="F79" s="63">
        <f>IF(D79="","",SUMIF(인컴2!E:E,D79,인컴2!N:N)/100000000)</f>
        <v>0</v>
      </c>
      <c r="G79" s="62">
        <f t="shared" si="98"/>
        <v>0</v>
      </c>
      <c r="H79" s="61" t="str">
        <f t="shared" si="99"/>
        <v/>
      </c>
      <c r="I79" s="64" t="str">
        <f>IFERROR(INDEX(인컴2!Q:Q,MATCH(D79,인컴2!E:E,0))/100,"")</f>
        <v/>
      </c>
      <c r="J79" s="63">
        <f>IF(D79="","",SUMIF(블루1!E:E,D79,블루1!N:N)/100000000)</f>
        <v>2.0738799999999999</v>
      </c>
      <c r="K79" s="62">
        <f t="shared" si="100"/>
        <v>2.5279624580777801E-2</v>
      </c>
      <c r="L79" s="61" t="str">
        <f t="shared" si="101"/>
        <v/>
      </c>
      <c r="M79" s="64">
        <f>IFERROR(INDEX(블루1!Q:Q,MATCH(D79,블루1!E:E,0))/100,"")</f>
        <v>3.9100000000000003E-2</v>
      </c>
      <c r="N79" s="63">
        <f>IF(D79="","",SUMIF(블루3!E:E,D79,블루3!N:N)/100000000)</f>
        <v>0</v>
      </c>
      <c r="O79" s="62">
        <f t="shared" si="102"/>
        <v>0</v>
      </c>
      <c r="P79" s="61" t="str">
        <f t="shared" si="103"/>
        <v/>
      </c>
      <c r="Q79" s="64" t="str">
        <f>IFERROR(INDEX(블루3!Q:Q,MATCH(D79,블루3!E:E,0))/100,"")</f>
        <v/>
      </c>
      <c r="R79" s="69" t="s">
        <v>233</v>
      </c>
      <c r="S79" s="7" t="str">
        <f>IFERROR(INDEX(인컴2!$E$1:$Q$51, MATCH(R79, 인컴2!E:E, 0), 8), "")</f>
        <v/>
      </c>
    </row>
    <row r="80" spans="1:19" ht="18" customHeight="1">
      <c r="A80" s="50">
        <v>4</v>
      </c>
      <c r="B80" s="28"/>
      <c r="C80" s="25" t="s">
        <v>15</v>
      </c>
      <c r="D80" s="28" t="str">
        <f>IF(R80="","",IFERROR(INDEX(인컴2!E:E,MATCH(R80,인컴2!E:E,0)),IFERROR(INDEX(블루1!E:E,MATCH(R80,블루1!E:E,0)),IFERROR(INDEX(블루3!E:E,MATCH(R80,블루3!E:E,0)),R80))))</f>
        <v>현대엘리베이터</v>
      </c>
      <c r="E80" s="42"/>
      <c r="F80" s="63">
        <f>IF(D80="","",SUMIF(인컴2!E:E,D80,인컴2!N:N)/100000000)</f>
        <v>0</v>
      </c>
      <c r="G80" s="62">
        <f>IFERROR(F80/$G$4, "")</f>
        <v>0</v>
      </c>
      <c r="H80" s="61" t="str">
        <f>IFERROR(($E80-G80)*G$4*100000000/$S80, "")</f>
        <v/>
      </c>
      <c r="I80" s="64" t="str">
        <f>IFERROR(INDEX(인컴2!Q:Q,MATCH(D80,인컴2!E:E,0))/100,"")</f>
        <v/>
      </c>
      <c r="J80" s="63">
        <f>IF(D80="","",SUMIF(블루1!E:E,D80,블루1!N:N)/100000000)</f>
        <v>1.53</v>
      </c>
      <c r="K80" s="62">
        <f>IFERROR(J80/K$4, "")</f>
        <v>1.8649982452499679E-2</v>
      </c>
      <c r="L80" s="61" t="str">
        <f>IFERROR(($E80-K80)*K$4*100000000/$S80, "")</f>
        <v/>
      </c>
      <c r="M80" s="64">
        <f>IFERROR(INDEX(블루1!Q:Q,MATCH(D80,블루1!E:E,0))/100,"")</f>
        <v>-2.0400000000000001E-2</v>
      </c>
      <c r="N80" s="63">
        <f>IF(D80="","",SUMIF(블루3!E:E,D80,블루3!N:N)/100000000)</f>
        <v>0</v>
      </c>
      <c r="O80" s="62">
        <f>IFERROR(N80/O$4, "")</f>
        <v>0</v>
      </c>
      <c r="P80" s="61" t="str">
        <f>IFERROR(($E80-O80)*O$4*100000000/$S80, "")</f>
        <v/>
      </c>
      <c r="Q80" s="64" t="str">
        <f>IFERROR(INDEX(블루3!Q:Q,MATCH(D80,블루3!E:E,0))/100,"")</f>
        <v/>
      </c>
      <c r="R80" s="69" t="s">
        <v>13</v>
      </c>
      <c r="S80" s="7" t="str">
        <f>IFERROR(INDEX(인컴2!$E$1:$Q$51, MATCH(R80, 인컴2!E:E, 0), 8), "")</f>
        <v/>
      </c>
    </row>
    <row r="81" spans="1:19" ht="18" customHeight="1">
      <c r="A81" s="51"/>
      <c r="B81" s="34"/>
      <c r="C81" s="22"/>
      <c r="D81" s="28" t="str">
        <f>IF(R81="","",IFERROR(INDEX(인컴2!E:E,MATCH(R81,인컴2!E:E,0)),IFERROR(INDEX(블루1!E:E,MATCH(R81,블루1!E:E,0)),IFERROR(INDEX(블루3!E:E,MATCH(R81,블루3!E:E,0)),R81))))</f>
        <v/>
      </c>
      <c r="E81" s="42"/>
      <c r="F81" s="63" t="str">
        <f>IF(D81="","",SUMIF(인컴2!E:E,D81,인컴2!N:N)/100000000)</f>
        <v/>
      </c>
      <c r="G81" s="62" t="str">
        <f>IFERROR(F81/$G$4, "")</f>
        <v/>
      </c>
      <c r="H81" s="61" t="str">
        <f>IFERROR(($E81-G81)*G$4*100000000/$S81, "")</f>
        <v/>
      </c>
      <c r="I81" s="64" t="str">
        <f>IFERROR(INDEX(인컴2!Q:Q,MATCH(D81,인컴2!E:E,0))/100,"")</f>
        <v/>
      </c>
      <c r="J81" s="63" t="str">
        <f>IF(D81="","",SUMIF(블루1!E:E,D81,블루1!N:N)/100000000)</f>
        <v/>
      </c>
      <c r="K81" s="62" t="str">
        <f>IFERROR(J81/K$4, "")</f>
        <v/>
      </c>
      <c r="L81" s="61" t="str">
        <f>IFERROR(($E81-K81)*K$4*100000000/$S81, "")</f>
        <v/>
      </c>
      <c r="M81" s="64" t="str">
        <f>IFERROR(INDEX(블루1!Q:Q,MATCH(D81,블루1!E:E,0))/100,"")</f>
        <v/>
      </c>
      <c r="N81" s="63" t="str">
        <f>IF(D81="","",SUMIF(블루3!E:E,D81,블루3!N:N)/100000000)</f>
        <v/>
      </c>
      <c r="O81" s="62" t="str">
        <f>IFERROR(N81/O$4, "")</f>
        <v/>
      </c>
      <c r="P81" s="61" t="str">
        <f>IFERROR(($E81-O81)*O$4*100000000/$S81, "")</f>
        <v/>
      </c>
      <c r="Q81" s="64" t="str">
        <f>IFERROR(INDEX(블루3!Q:Q,MATCH(D81,블루3!E:E,0))/100,"")</f>
        <v/>
      </c>
      <c r="R81" s="69"/>
      <c r="S81" s="7" t="str">
        <f>IFERROR(INDEX(인컴2!$E$1:$Q$51, MATCH(R81, 인컴2!E:E, 0), 8), "")</f>
        <v/>
      </c>
    </row>
    <row r="82" spans="1:19" ht="18" customHeight="1" thickBot="1">
      <c r="A82" s="55"/>
      <c r="B82" s="31"/>
      <c r="C82" s="83" t="s">
        <v>246</v>
      </c>
      <c r="D82" s="31"/>
      <c r="E82" s="45">
        <v>0</v>
      </c>
      <c r="F82" s="76">
        <f>SUM(F77:F81)</f>
        <v>7.5739999999999998</v>
      </c>
      <c r="G82" s="77">
        <f t="shared" si="71"/>
        <v>0.47461328708246781</v>
      </c>
      <c r="H82" s="78" t="str">
        <f>IFERROR(($E82-G82)*F$4/$S82, "")</f>
        <v/>
      </c>
      <c r="I82" s="78"/>
      <c r="J82" s="79">
        <f>SUM(J77:J81)</f>
        <v>12.429609399999999</v>
      </c>
      <c r="K82" s="77">
        <f t="shared" si="72"/>
        <v>0.7941657403511978</v>
      </c>
      <c r="L82" s="80"/>
      <c r="M82" s="80"/>
      <c r="N82" s="79">
        <f>SUM(N77:N81)</f>
        <v>0</v>
      </c>
      <c r="O82" s="77">
        <f t="shared" si="73"/>
        <v>0</v>
      </c>
      <c r="P82" s="78"/>
      <c r="Q82" s="78"/>
      <c r="R82" s="74"/>
      <c r="S82" s="9" t="str">
        <f>IFERROR(INDEX(인컴2!$E$1:$Q$51, MATCH(R82, 인컴2!E:E, 0), 7), "")</f>
        <v/>
      </c>
    </row>
    <row r="83" spans="1:19" ht="18" customHeight="1" thickBot="1">
      <c r="A83" s="56"/>
      <c r="B83" s="37">
        <f>B8+B22+B26+B32+B39+B43+B52+B58+B63+B67+B73</f>
        <v>1.0960000000000001</v>
      </c>
      <c r="C83" s="27" t="s">
        <v>124</v>
      </c>
      <c r="D83" s="32"/>
      <c r="E83" s="39">
        <f>E20+E24+E30+E37+E41+E50+E56+E61+E65+E71+E76</f>
        <v>1.0960000000000001</v>
      </c>
      <c r="F83" s="93">
        <f>F20+F24+F30+F37+F41+F50+F56+F61+F65+F71+F76</f>
        <v>79.732155199999994</v>
      </c>
      <c r="G83" s="12">
        <f t="shared" si="71"/>
        <v>4.9962952555639655</v>
      </c>
      <c r="H83" s="13"/>
      <c r="I83" s="13"/>
      <c r="J83" s="94">
        <f>J20+J24+J30+J37+J41+J50+J56+J61+J65+J71+J76</f>
        <v>82.037610700000002</v>
      </c>
      <c r="K83" s="12">
        <f t="shared" si="72"/>
        <v>5.2416337264957704</v>
      </c>
      <c r="L83" s="14"/>
      <c r="M83" s="14"/>
      <c r="N83" s="94">
        <f>N20+N24+N30+N37+N41+N50+N56+N61+N65+N71+N76</f>
        <v>78.669492399999996</v>
      </c>
      <c r="O83" s="12">
        <f t="shared" si="73"/>
        <v>5.0463219368248868</v>
      </c>
      <c r="P83" s="13"/>
      <c r="Q83" s="13"/>
      <c r="R83" s="75"/>
      <c r="S83" s="10" t="str">
        <f>IFERROR(INDEX(인컴2!$E$1:$Q$51, MATCH(R83, 인컴2!E:E, 0), 7), "")</f>
        <v/>
      </c>
    </row>
    <row r="84" spans="1:19" ht="18" customHeight="1">
      <c r="E84" s="38"/>
      <c r="L84" s="2"/>
      <c r="M84" s="2"/>
      <c r="S84" s="2" t="str">
        <f>IFERROR(INDEX(인컴2!$E$1:$Q$51, MATCH(R84, 인컴2!E:E, 0), 7), "")</f>
        <v/>
      </c>
    </row>
    <row r="85" spans="1:19" ht="18" customHeight="1">
      <c r="L85" s="2"/>
      <c r="M85" s="2"/>
      <c r="S85" s="2" t="str">
        <f>IFERROR(INDEX(인컴2!$E$1:$Q$51, MATCH(R85, 인컴2!E:E, 0), 7), "")</f>
        <v/>
      </c>
    </row>
    <row r="86" spans="1:19" ht="18" customHeight="1">
      <c r="L86" s="2"/>
      <c r="M86" s="2"/>
      <c r="S86" s="2" t="str">
        <f>IFERROR(INDEX(인컴2!$E$1:$Q$51, MATCH(R86, 인컴2!E:E, 0), 7), "")</f>
        <v/>
      </c>
    </row>
    <row r="87" spans="1:19" ht="18" customHeight="1">
      <c r="L87" s="2"/>
      <c r="M87" s="2"/>
      <c r="S87" s="2" t="str">
        <f>IFERROR(INDEX(인컴2!$E$1:$Q$51, MATCH(R87, 인컴2!E:E, 0), 7), "")</f>
        <v/>
      </c>
    </row>
    <row r="88" spans="1:19" ht="21.95" customHeight="1">
      <c r="L88" s="2"/>
      <c r="M88" s="2"/>
      <c r="S88" s="2" t="str">
        <f>IFERROR(INDEX(인컴2!$E$1:$Q$51, MATCH(R88, 인컴2!E:E, 0), 7), "")</f>
        <v/>
      </c>
    </row>
    <row r="89" spans="1:19" ht="18" customHeight="1">
      <c r="S89" s="2" t="str">
        <f>IFERROR(INDEX(인컴2!$E$1:$Q$51, MATCH(R89, 인컴2!E:E, 0), 7), "")</f>
        <v/>
      </c>
    </row>
    <row r="90" spans="1:19" ht="18" customHeight="1">
      <c r="S90" s="2" t="str">
        <f>IFERROR(INDEX(인컴2!$E$1:$Q$51, MATCH(R90, 인컴2!E:E, 0), 7), "")</f>
        <v/>
      </c>
    </row>
    <row r="91" spans="1:19" ht="18" customHeight="1">
      <c r="S91" s="2" t="str">
        <f>IFERROR(INDEX(인컴2!$E$1:$Q$51, MATCH(R91, 인컴2!E:E, 0), 7), "")</f>
        <v/>
      </c>
    </row>
    <row r="92" spans="1:19" ht="18" customHeight="1">
      <c r="S92" s="2" t="str">
        <f>IFERROR(INDEX(인컴2!$E$1:$Q$51, MATCH(R92, 인컴2!E:E, 0), 7), "")</f>
        <v/>
      </c>
    </row>
    <row r="93" spans="1:19" ht="18" customHeight="1"/>
    <row r="94" spans="1:19" ht="18" customHeight="1"/>
    <row r="95" spans="1:19" ht="18" customHeight="1"/>
    <row r="96" spans="1:19" ht="18" customHeight="1"/>
    <row r="97" ht="21.95" customHeight="1"/>
    <row r="98" ht="21.95" customHeight="1"/>
  </sheetData>
  <mergeCells count="12">
    <mergeCell ref="R1:R2"/>
    <mergeCell ref="A5:A6"/>
    <mergeCell ref="B5:B6"/>
    <mergeCell ref="C5:C6"/>
    <mergeCell ref="D5:D6"/>
    <mergeCell ref="E5:E6"/>
    <mergeCell ref="U6:V6"/>
    <mergeCell ref="S5:S6"/>
    <mergeCell ref="R5:R6"/>
    <mergeCell ref="F5:I5"/>
    <mergeCell ref="J5:M5"/>
    <mergeCell ref="N5:Q5"/>
  </mergeCells>
  <phoneticPr fontId="16" type="noConversion"/>
  <conditionalFormatting sqref="F7:F19 J7:J19 N7:N19 F21:F23 J21:J23 N21:N23 F25:F29 J25:J29 N25:N29 F31:F36 J31:J36 N31:N36 F38:F40 J38:J40 N38:N40 F42:F49 J42:J49 N42:N49">
    <cfRule type="expression" dxfId="7" priority="22">
      <formula>AND($E7&lt;&gt;"",G7&gt;$E7)</formula>
    </cfRule>
  </conditionalFormatting>
  <conditionalFormatting sqref="F51:F55 J51:J55 N51:N55">
    <cfRule type="expression" dxfId="6" priority="6">
      <formula>AND($E51&lt;&gt;"",G51&gt;$E51)</formula>
    </cfRule>
  </conditionalFormatting>
  <conditionalFormatting sqref="F57:F60 J57:J60 N57:N60">
    <cfRule type="expression" dxfId="5" priority="5">
      <formula>AND($E57&lt;&gt;"",G57&gt;$E57)</formula>
    </cfRule>
  </conditionalFormatting>
  <conditionalFormatting sqref="F62:F64 J62:J64 N62:N64">
    <cfRule type="expression" dxfId="4" priority="4">
      <formula>AND($E62&lt;&gt;"",G62&gt;$E62)</formula>
    </cfRule>
  </conditionalFormatting>
  <conditionalFormatting sqref="F66:F70 J66:J70 N66:N70">
    <cfRule type="expression" dxfId="3" priority="3">
      <formula>AND($E66&lt;&gt;"",G66&gt;$E66)</formula>
    </cfRule>
  </conditionalFormatting>
  <conditionalFormatting sqref="F72:F75 J72:J75 N72:N75">
    <cfRule type="expression" dxfId="2" priority="2">
      <formula>AND($E72&lt;&gt;"",G72&gt;$E72)</formula>
    </cfRule>
  </conditionalFormatting>
  <conditionalFormatting sqref="F77:F81 J77:J81 N77:N81">
    <cfRule type="expression" dxfId="1" priority="1">
      <formula>AND($E77&lt;&gt;"",G77&gt;$E77)</formula>
    </cfRule>
  </conditionalFormatting>
  <conditionalFormatting sqref="G7:G81 K7:K81 O7:O81">
    <cfRule type="expression" dxfId="0" priority="19">
      <formula>AND($E7&lt;&gt;"",G7&gt;$E7)</formula>
    </cfRule>
  </conditionalFormatting>
  <pageMargins left="0.7" right="0.7" top="0.75" bottom="0.75" header="0.3" footer="0.3"/>
  <pageSetup paperSize="9" scale="48" fitToHeight="0" orientation="landscape" r:id="rId1"/>
  <ignoredErrors>
    <ignoredError sqref="N8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1E7C-0E1C-45A0-837C-FA9C535FC0F5}">
  <dimension ref="A1:R56"/>
  <sheetViews>
    <sheetView topLeftCell="A20" workbookViewId="0">
      <selection activeCell="A48" sqref="A48:XFD51"/>
    </sheetView>
  </sheetViews>
  <sheetFormatPr defaultRowHeight="13.5"/>
  <cols>
    <col min="1" max="1" width="4.140625" bestFit="1" customWidth="1"/>
    <col min="2" max="2" width="6.85546875" bestFit="1" customWidth="1"/>
    <col min="3" max="3" width="38.28515625" bestFit="1" customWidth="1"/>
    <col min="4" max="4" width="13.5703125" bestFit="1" customWidth="1"/>
    <col min="5" max="5" width="32.85546875" bestFit="1" customWidth="1"/>
    <col min="6" max="6" width="8.5703125" bestFit="1" customWidth="1"/>
    <col min="7" max="7" width="9.42578125" bestFit="1" customWidth="1"/>
    <col min="8" max="8" width="11.28515625" bestFit="1" customWidth="1"/>
    <col min="9" max="9" width="19" bestFit="1" customWidth="1"/>
    <col min="10" max="11" width="8.5703125" bestFit="1" customWidth="1"/>
    <col min="12" max="12" width="9.42578125" bestFit="1" customWidth="1"/>
    <col min="13" max="13" width="11.28515625" bestFit="1" customWidth="1"/>
    <col min="14" max="14" width="19" bestFit="1" customWidth="1"/>
    <col min="15" max="15" width="15.7109375" bestFit="1" customWidth="1"/>
    <col min="16" max="16" width="20.85546875" bestFit="1" customWidth="1"/>
    <col min="17" max="17" width="11" bestFit="1" customWidth="1"/>
    <col min="18" max="18" width="12.28515625" bestFit="1" customWidth="1"/>
  </cols>
  <sheetData>
    <row r="1" spans="1:18" ht="13.5" customHeight="1">
      <c r="A1" s="143" t="s">
        <v>21</v>
      </c>
      <c r="B1" s="145" t="s">
        <v>22</v>
      </c>
      <c r="C1" s="145" t="s">
        <v>23</v>
      </c>
      <c r="D1" s="145" t="s">
        <v>24</v>
      </c>
      <c r="E1" s="145" t="s">
        <v>25</v>
      </c>
      <c r="F1" s="140" t="s">
        <v>26</v>
      </c>
      <c r="G1" s="141"/>
      <c r="H1" s="141"/>
      <c r="I1" s="142"/>
      <c r="J1" s="140" t="s">
        <v>27</v>
      </c>
      <c r="K1" s="141"/>
      <c r="L1" s="141"/>
      <c r="M1" s="141"/>
      <c r="N1" s="142"/>
      <c r="O1" s="145" t="s">
        <v>264</v>
      </c>
      <c r="P1" s="145" t="s">
        <v>28</v>
      </c>
      <c r="Q1" s="145" t="s">
        <v>169</v>
      </c>
      <c r="R1" s="145" t="s">
        <v>29</v>
      </c>
    </row>
    <row r="2" spans="1:18" ht="33.75">
      <c r="A2" s="144"/>
      <c r="B2" s="146"/>
      <c r="C2" s="146"/>
      <c r="D2" s="146"/>
      <c r="E2" s="146"/>
      <c r="F2" s="139" t="s">
        <v>30</v>
      </c>
      <c r="G2" s="139" t="s">
        <v>31</v>
      </c>
      <c r="H2" s="139" t="s">
        <v>32</v>
      </c>
      <c r="I2" s="139" t="s">
        <v>33</v>
      </c>
      <c r="J2" s="139" t="s">
        <v>170</v>
      </c>
      <c r="K2" s="139" t="s">
        <v>285</v>
      </c>
      <c r="L2" s="139" t="s">
        <v>34</v>
      </c>
      <c r="M2" s="139" t="s">
        <v>32</v>
      </c>
      <c r="N2" s="139" t="s">
        <v>33</v>
      </c>
      <c r="O2" s="146"/>
      <c r="P2" s="146"/>
      <c r="Q2" s="146"/>
      <c r="R2" s="146"/>
    </row>
    <row r="3" spans="1:18">
      <c r="A3" s="147" t="s">
        <v>35</v>
      </c>
      <c r="B3" s="148" t="s">
        <v>84</v>
      </c>
      <c r="C3" s="149" t="s">
        <v>85</v>
      </c>
      <c r="D3" s="148" t="s">
        <v>199</v>
      </c>
      <c r="E3" s="149" t="s">
        <v>200</v>
      </c>
      <c r="F3" s="150">
        <v>17</v>
      </c>
      <c r="G3" s="150">
        <v>34500</v>
      </c>
      <c r="H3" s="150">
        <v>103020</v>
      </c>
      <c r="I3" s="150">
        <v>586500</v>
      </c>
      <c r="J3" s="150">
        <v>17</v>
      </c>
      <c r="K3" s="150">
        <v>17</v>
      </c>
      <c r="L3" s="150">
        <v>29300</v>
      </c>
      <c r="M3" s="150">
        <v>103020</v>
      </c>
      <c r="N3" s="150">
        <v>498100</v>
      </c>
      <c r="O3" s="150">
        <v>-88400</v>
      </c>
      <c r="P3" s="150">
        <v>395080</v>
      </c>
      <c r="Q3" s="151">
        <v>383.49</v>
      </c>
      <c r="R3" s="151">
        <v>-15.07</v>
      </c>
    </row>
    <row r="4" spans="1:18">
      <c r="A4" s="128" t="s">
        <v>39</v>
      </c>
      <c r="B4" s="129" t="s">
        <v>84</v>
      </c>
      <c r="C4" s="130" t="s">
        <v>85</v>
      </c>
      <c r="D4" s="129" t="s">
        <v>94</v>
      </c>
      <c r="E4" s="130" t="s">
        <v>11</v>
      </c>
      <c r="F4" s="131">
        <v>2000</v>
      </c>
      <c r="G4" s="131">
        <v>225500</v>
      </c>
      <c r="H4" s="131">
        <v>146500000</v>
      </c>
      <c r="I4" s="131">
        <v>451000000</v>
      </c>
      <c r="J4" s="131">
        <v>2000</v>
      </c>
      <c r="K4" s="131">
        <v>2000</v>
      </c>
      <c r="L4" s="131">
        <v>224490</v>
      </c>
      <c r="M4" s="131">
        <v>146500000</v>
      </c>
      <c r="N4" s="131">
        <v>448980000</v>
      </c>
      <c r="O4" s="131">
        <v>-2020000</v>
      </c>
      <c r="P4" s="131">
        <v>302480000</v>
      </c>
      <c r="Q4" s="132">
        <v>206.47</v>
      </c>
      <c r="R4" s="132">
        <v>-0.44</v>
      </c>
    </row>
    <row r="5" spans="1:18">
      <c r="A5" s="128" t="s">
        <v>40</v>
      </c>
      <c r="B5" s="133" t="s">
        <v>84</v>
      </c>
      <c r="C5" s="134" t="s">
        <v>85</v>
      </c>
      <c r="D5" s="133" t="s">
        <v>86</v>
      </c>
      <c r="E5" s="134" t="s">
        <v>87</v>
      </c>
      <c r="F5" s="135">
        <v>17</v>
      </c>
      <c r="G5" s="135">
        <v>22900</v>
      </c>
      <c r="H5" s="135">
        <v>188870</v>
      </c>
      <c r="I5" s="135">
        <v>389300</v>
      </c>
      <c r="J5" s="135">
        <v>17</v>
      </c>
      <c r="K5" s="135">
        <v>17</v>
      </c>
      <c r="L5" s="135">
        <v>21050</v>
      </c>
      <c r="M5" s="135">
        <v>188870</v>
      </c>
      <c r="N5" s="135">
        <v>357850</v>
      </c>
      <c r="O5" s="135">
        <v>-31450</v>
      </c>
      <c r="P5" s="135">
        <v>168980</v>
      </c>
      <c r="Q5" s="136">
        <v>89.46</v>
      </c>
      <c r="R5" s="136">
        <v>-8.07</v>
      </c>
    </row>
    <row r="6" spans="1:18">
      <c r="A6" s="128" t="s">
        <v>41</v>
      </c>
      <c r="B6" s="129" t="s">
        <v>84</v>
      </c>
      <c r="C6" s="130" t="s">
        <v>85</v>
      </c>
      <c r="D6" s="129" t="s">
        <v>95</v>
      </c>
      <c r="E6" s="130" t="s">
        <v>10</v>
      </c>
      <c r="F6" s="131">
        <v>10000</v>
      </c>
      <c r="G6" s="131">
        <v>24360</v>
      </c>
      <c r="H6" s="131">
        <v>171290074</v>
      </c>
      <c r="I6" s="131">
        <v>243600000</v>
      </c>
      <c r="J6" s="131">
        <v>10000</v>
      </c>
      <c r="K6" s="131">
        <v>10000</v>
      </c>
      <c r="L6" s="131">
        <v>24875</v>
      </c>
      <c r="M6" s="131">
        <v>171290074</v>
      </c>
      <c r="N6" s="131">
        <v>248750000</v>
      </c>
      <c r="O6" s="131">
        <v>5150000</v>
      </c>
      <c r="P6" s="131">
        <v>77459926</v>
      </c>
      <c r="Q6" s="132">
        <v>45.22</v>
      </c>
      <c r="R6" s="132">
        <v>2.11</v>
      </c>
    </row>
    <row r="7" spans="1:18">
      <c r="A7" s="128" t="s">
        <v>44</v>
      </c>
      <c r="B7" s="133" t="s">
        <v>84</v>
      </c>
      <c r="C7" s="134" t="s">
        <v>85</v>
      </c>
      <c r="D7" s="133" t="s">
        <v>205</v>
      </c>
      <c r="E7" s="134" t="s">
        <v>206</v>
      </c>
      <c r="F7" s="135">
        <v>13500</v>
      </c>
      <c r="G7" s="135">
        <v>89300</v>
      </c>
      <c r="H7" s="135">
        <v>791527161</v>
      </c>
      <c r="I7" s="135">
        <v>1205550000</v>
      </c>
      <c r="J7" s="135">
        <v>13500</v>
      </c>
      <c r="K7" s="135">
        <v>13500</v>
      </c>
      <c r="L7" s="135">
        <v>83730</v>
      </c>
      <c r="M7" s="135">
        <v>791527161</v>
      </c>
      <c r="N7" s="135">
        <v>1130355000</v>
      </c>
      <c r="O7" s="135">
        <v>-75195000</v>
      </c>
      <c r="P7" s="135">
        <v>338827839</v>
      </c>
      <c r="Q7" s="136">
        <v>42.8</v>
      </c>
      <c r="R7" s="136">
        <v>-6.23</v>
      </c>
    </row>
    <row r="8" spans="1:18">
      <c r="A8" s="128"/>
      <c r="B8" s="129"/>
      <c r="C8" s="130"/>
      <c r="D8" s="129"/>
      <c r="E8" s="130"/>
      <c r="F8" s="131"/>
      <c r="G8" s="131"/>
      <c r="H8" s="131"/>
      <c r="I8" s="131"/>
      <c r="J8" s="131"/>
      <c r="K8" s="152"/>
      <c r="L8" s="131"/>
      <c r="M8" s="131"/>
      <c r="N8" s="131"/>
      <c r="O8" s="131"/>
      <c r="P8" s="131"/>
      <c r="Q8" s="132"/>
      <c r="R8" s="132"/>
    </row>
    <row r="9" spans="1:18">
      <c r="A9" s="128" t="s">
        <v>47</v>
      </c>
      <c r="B9" s="133" t="s">
        <v>84</v>
      </c>
      <c r="C9" s="134" t="s">
        <v>85</v>
      </c>
      <c r="D9" s="133" t="s">
        <v>88</v>
      </c>
      <c r="E9" s="134" t="s">
        <v>89</v>
      </c>
      <c r="F9" s="135">
        <v>52</v>
      </c>
      <c r="G9" s="135">
        <v>17620</v>
      </c>
      <c r="H9" s="135">
        <v>603980</v>
      </c>
      <c r="I9" s="135">
        <v>916240</v>
      </c>
      <c r="J9" s="135">
        <v>52</v>
      </c>
      <c r="K9" s="135">
        <v>52</v>
      </c>
      <c r="L9" s="135">
        <v>15920</v>
      </c>
      <c r="M9" s="135">
        <v>603980</v>
      </c>
      <c r="N9" s="135">
        <v>827840</v>
      </c>
      <c r="O9" s="135">
        <v>-88400</v>
      </c>
      <c r="P9" s="135">
        <v>223860</v>
      </c>
      <c r="Q9" s="136">
        <v>37.06</v>
      </c>
      <c r="R9" s="136">
        <v>-9.64</v>
      </c>
    </row>
    <row r="10" spans="1:18">
      <c r="A10" s="128" t="s">
        <v>48</v>
      </c>
      <c r="B10" s="129" t="s">
        <v>84</v>
      </c>
      <c r="C10" s="130" t="s">
        <v>85</v>
      </c>
      <c r="D10" s="129" t="s">
        <v>196</v>
      </c>
      <c r="E10" s="130" t="s">
        <v>197</v>
      </c>
      <c r="F10" s="131">
        <v>5000</v>
      </c>
      <c r="G10" s="131">
        <v>42300</v>
      </c>
      <c r="H10" s="131">
        <v>132474512</v>
      </c>
      <c r="I10" s="131">
        <v>211500000</v>
      </c>
      <c r="J10" s="131">
        <v>6500</v>
      </c>
      <c r="K10" s="131">
        <v>6500</v>
      </c>
      <c r="L10" s="131">
        <v>40340</v>
      </c>
      <c r="M10" s="131">
        <v>192220172</v>
      </c>
      <c r="N10" s="131">
        <v>262210000</v>
      </c>
      <c r="O10" s="131">
        <v>-9035660</v>
      </c>
      <c r="P10" s="131">
        <v>69989828</v>
      </c>
      <c r="Q10" s="132">
        <v>36.409999999999997</v>
      </c>
      <c r="R10" s="132">
        <v>-4.63</v>
      </c>
    </row>
    <row r="11" spans="1:18">
      <c r="A11" s="128" t="s">
        <v>49</v>
      </c>
      <c r="B11" s="133" t="s">
        <v>84</v>
      </c>
      <c r="C11" s="134" t="s">
        <v>85</v>
      </c>
      <c r="D11" s="133" t="s">
        <v>265</v>
      </c>
      <c r="E11" s="134" t="s">
        <v>266</v>
      </c>
      <c r="F11" s="135">
        <v>1800</v>
      </c>
      <c r="G11" s="135">
        <v>165800</v>
      </c>
      <c r="H11" s="135">
        <v>189286799</v>
      </c>
      <c r="I11" s="135">
        <v>298440000</v>
      </c>
      <c r="J11" s="135">
        <v>1800</v>
      </c>
      <c r="K11" s="135">
        <v>1800</v>
      </c>
      <c r="L11" s="135">
        <v>140000</v>
      </c>
      <c r="M11" s="135">
        <v>189286799</v>
      </c>
      <c r="N11" s="135">
        <v>252000000</v>
      </c>
      <c r="O11" s="135">
        <v>-46440000</v>
      </c>
      <c r="P11" s="135">
        <v>62713201</v>
      </c>
      <c r="Q11" s="136">
        <v>33.130000000000003</v>
      </c>
      <c r="R11" s="136">
        <v>-15.56</v>
      </c>
    </row>
    <row r="12" spans="1:18">
      <c r="A12" s="128" t="s">
        <v>51</v>
      </c>
      <c r="B12" s="129" t="s">
        <v>84</v>
      </c>
      <c r="C12" s="130" t="s">
        <v>85</v>
      </c>
      <c r="D12" s="129" t="s">
        <v>70</v>
      </c>
      <c r="E12" s="130" t="s">
        <v>71</v>
      </c>
      <c r="F12" s="131">
        <v>300</v>
      </c>
      <c r="G12" s="131">
        <v>684000</v>
      </c>
      <c r="H12" s="131">
        <v>157020748</v>
      </c>
      <c r="I12" s="131">
        <v>205200000</v>
      </c>
      <c r="J12" s="131">
        <v>300</v>
      </c>
      <c r="K12" s="131">
        <v>300</v>
      </c>
      <c r="L12" s="131">
        <v>673000</v>
      </c>
      <c r="M12" s="131">
        <v>157020748</v>
      </c>
      <c r="N12" s="131">
        <v>201900000</v>
      </c>
      <c r="O12" s="131">
        <v>-3300000</v>
      </c>
      <c r="P12" s="131">
        <v>44879252</v>
      </c>
      <c r="Q12" s="132">
        <v>28.58</v>
      </c>
      <c r="R12" s="132">
        <v>-1.6</v>
      </c>
    </row>
    <row r="13" spans="1:18">
      <c r="A13" s="128" t="s">
        <v>52</v>
      </c>
      <c r="B13" s="133" t="s">
        <v>84</v>
      </c>
      <c r="C13" s="134" t="s">
        <v>85</v>
      </c>
      <c r="D13" s="133" t="s">
        <v>207</v>
      </c>
      <c r="E13" s="134" t="s">
        <v>208</v>
      </c>
      <c r="F13" s="135">
        <v>30000</v>
      </c>
      <c r="G13" s="135">
        <v>16160</v>
      </c>
      <c r="H13" s="135">
        <v>396362402</v>
      </c>
      <c r="I13" s="135">
        <v>484800000</v>
      </c>
      <c r="J13" s="135">
        <v>30000</v>
      </c>
      <c r="K13" s="135">
        <v>30000</v>
      </c>
      <c r="L13" s="135">
        <v>16275</v>
      </c>
      <c r="M13" s="135">
        <v>396362402</v>
      </c>
      <c r="N13" s="135">
        <v>488250000</v>
      </c>
      <c r="O13" s="135">
        <v>3450000</v>
      </c>
      <c r="P13" s="135">
        <v>91887598</v>
      </c>
      <c r="Q13" s="136">
        <v>23.18</v>
      </c>
      <c r="R13" s="136">
        <v>0.71</v>
      </c>
    </row>
    <row r="14" spans="1:18">
      <c r="A14" s="128"/>
      <c r="B14" s="129"/>
      <c r="C14" s="130"/>
      <c r="D14" s="129"/>
      <c r="E14" s="130"/>
      <c r="F14" s="131"/>
      <c r="G14" s="131"/>
      <c r="H14" s="131"/>
      <c r="I14" s="131"/>
      <c r="J14" s="131"/>
      <c r="K14" s="152"/>
      <c r="L14" s="131"/>
      <c r="M14" s="131"/>
      <c r="N14" s="131"/>
      <c r="O14" s="131"/>
      <c r="P14" s="131"/>
      <c r="Q14" s="132"/>
      <c r="R14" s="132"/>
    </row>
    <row r="15" spans="1:18">
      <c r="A15" s="128" t="s">
        <v>54</v>
      </c>
      <c r="B15" s="133" t="s">
        <v>84</v>
      </c>
      <c r="C15" s="134" t="s">
        <v>85</v>
      </c>
      <c r="D15" s="133" t="s">
        <v>275</v>
      </c>
      <c r="E15" s="134" t="s">
        <v>276</v>
      </c>
      <c r="F15" s="135">
        <v>700</v>
      </c>
      <c r="G15" s="135">
        <v>271500</v>
      </c>
      <c r="H15" s="135">
        <v>165244088</v>
      </c>
      <c r="I15" s="135">
        <v>190050000</v>
      </c>
      <c r="J15" s="135">
        <v>1500</v>
      </c>
      <c r="K15" s="135">
        <v>1500</v>
      </c>
      <c r="L15" s="135">
        <v>280500</v>
      </c>
      <c r="M15" s="135">
        <v>371270088</v>
      </c>
      <c r="N15" s="135">
        <v>420750000</v>
      </c>
      <c r="O15" s="135">
        <v>24674000</v>
      </c>
      <c r="P15" s="135">
        <v>49479912</v>
      </c>
      <c r="Q15" s="136">
        <v>13.32</v>
      </c>
      <c r="R15" s="136">
        <v>3.31</v>
      </c>
    </row>
    <row r="16" spans="1:18">
      <c r="A16" s="128" t="s">
        <v>55</v>
      </c>
      <c r="B16" s="129" t="s">
        <v>84</v>
      </c>
      <c r="C16" s="130" t="s">
        <v>85</v>
      </c>
      <c r="D16" s="129" t="s">
        <v>45</v>
      </c>
      <c r="E16" s="130" t="s">
        <v>6</v>
      </c>
      <c r="F16" s="131">
        <v>3000</v>
      </c>
      <c r="G16" s="131">
        <v>106900</v>
      </c>
      <c r="H16" s="131">
        <v>271800000</v>
      </c>
      <c r="I16" s="131">
        <v>320700000</v>
      </c>
      <c r="J16" s="131">
        <v>3000</v>
      </c>
      <c r="K16" s="131">
        <v>3000</v>
      </c>
      <c r="L16" s="131">
        <v>100000</v>
      </c>
      <c r="M16" s="131">
        <v>271800000</v>
      </c>
      <c r="N16" s="131">
        <v>300000000</v>
      </c>
      <c r="O16" s="131">
        <v>-20700000</v>
      </c>
      <c r="P16" s="131">
        <v>28200000</v>
      </c>
      <c r="Q16" s="132">
        <v>10.37</v>
      </c>
      <c r="R16" s="132">
        <v>-6.45</v>
      </c>
    </row>
    <row r="17" spans="1:18">
      <c r="A17" s="128" t="s">
        <v>56</v>
      </c>
      <c r="B17" s="133" t="s">
        <v>84</v>
      </c>
      <c r="C17" s="134" t="s">
        <v>85</v>
      </c>
      <c r="D17" s="133" t="s">
        <v>90</v>
      </c>
      <c r="E17" s="134" t="s">
        <v>91</v>
      </c>
      <c r="F17" s="135">
        <v>54</v>
      </c>
      <c r="G17" s="135">
        <v>30650</v>
      </c>
      <c r="H17" s="135">
        <v>1418040</v>
      </c>
      <c r="I17" s="135">
        <v>1655100</v>
      </c>
      <c r="J17" s="135">
        <v>54</v>
      </c>
      <c r="K17" s="135">
        <v>54</v>
      </c>
      <c r="L17" s="135">
        <v>28700</v>
      </c>
      <c r="M17" s="135">
        <v>1418040</v>
      </c>
      <c r="N17" s="135">
        <v>1549800</v>
      </c>
      <c r="O17" s="135">
        <v>-105300</v>
      </c>
      <c r="P17" s="135">
        <v>131760</v>
      </c>
      <c r="Q17" s="136">
        <v>9.2899999999999991</v>
      </c>
      <c r="R17" s="136">
        <v>-6.36</v>
      </c>
    </row>
    <row r="18" spans="1:18">
      <c r="A18" s="128" t="s">
        <v>57</v>
      </c>
      <c r="B18" s="129" t="s">
        <v>84</v>
      </c>
      <c r="C18" s="130" t="s">
        <v>85</v>
      </c>
      <c r="D18" s="129" t="s">
        <v>42</v>
      </c>
      <c r="E18" s="130" t="s">
        <v>43</v>
      </c>
      <c r="F18" s="131">
        <v>12</v>
      </c>
      <c r="G18" s="131">
        <v>23000</v>
      </c>
      <c r="H18" s="131">
        <v>242400</v>
      </c>
      <c r="I18" s="131">
        <v>276000</v>
      </c>
      <c r="J18" s="131">
        <v>12</v>
      </c>
      <c r="K18" s="131">
        <v>12</v>
      </c>
      <c r="L18" s="131">
        <v>21950</v>
      </c>
      <c r="M18" s="131">
        <v>242400</v>
      </c>
      <c r="N18" s="131">
        <v>263400</v>
      </c>
      <c r="O18" s="131">
        <v>-12600</v>
      </c>
      <c r="P18" s="131">
        <v>21000</v>
      </c>
      <c r="Q18" s="132">
        <v>8.66</v>
      </c>
      <c r="R18" s="132">
        <v>-4.5599999999999996</v>
      </c>
    </row>
    <row r="19" spans="1:18">
      <c r="A19" s="128" t="s">
        <v>58</v>
      </c>
      <c r="B19" s="133" t="s">
        <v>84</v>
      </c>
      <c r="C19" s="134" t="s">
        <v>85</v>
      </c>
      <c r="D19" s="133" t="s">
        <v>96</v>
      </c>
      <c r="E19" s="134" t="s">
        <v>5</v>
      </c>
      <c r="F19" s="135">
        <v>8200</v>
      </c>
      <c r="G19" s="135">
        <v>25940</v>
      </c>
      <c r="H19" s="135">
        <v>180967984</v>
      </c>
      <c r="I19" s="135">
        <v>212708000</v>
      </c>
      <c r="J19" s="135">
        <v>10000</v>
      </c>
      <c r="K19" s="135">
        <v>10000</v>
      </c>
      <c r="L19" s="135">
        <v>24045</v>
      </c>
      <c r="M19" s="135">
        <v>224125855</v>
      </c>
      <c r="N19" s="135">
        <v>240450000</v>
      </c>
      <c r="O19" s="135">
        <v>-15415871</v>
      </c>
      <c r="P19" s="135">
        <v>16324145</v>
      </c>
      <c r="Q19" s="136">
        <v>7.28</v>
      </c>
      <c r="R19" s="136">
        <v>-7.3</v>
      </c>
    </row>
    <row r="20" spans="1:18">
      <c r="A20" s="128" t="s">
        <v>59</v>
      </c>
      <c r="B20" s="129" t="s">
        <v>84</v>
      </c>
      <c r="C20" s="130" t="s">
        <v>85</v>
      </c>
      <c r="D20" s="129" t="s">
        <v>294</v>
      </c>
      <c r="E20" s="130" t="s">
        <v>295</v>
      </c>
      <c r="F20" s="131">
        <v>0</v>
      </c>
      <c r="G20" s="131">
        <v>18975</v>
      </c>
      <c r="H20" s="131">
        <v>0</v>
      </c>
      <c r="I20" s="131">
        <v>0</v>
      </c>
      <c r="J20" s="131">
        <v>15000</v>
      </c>
      <c r="K20" s="131">
        <v>15000</v>
      </c>
      <c r="L20" s="131">
        <v>20790</v>
      </c>
      <c r="M20" s="131">
        <v>301449845</v>
      </c>
      <c r="N20" s="131">
        <v>311850000</v>
      </c>
      <c r="O20" s="131">
        <v>10400155</v>
      </c>
      <c r="P20" s="131">
        <v>10400155</v>
      </c>
      <c r="Q20" s="132">
        <v>3.45</v>
      </c>
      <c r="R20" s="132">
        <v>9.56</v>
      </c>
    </row>
    <row r="21" spans="1:18">
      <c r="A21" s="128" t="s">
        <v>60</v>
      </c>
      <c r="B21" s="133" t="s">
        <v>84</v>
      </c>
      <c r="C21" s="134" t="s">
        <v>85</v>
      </c>
      <c r="D21" s="133" t="s">
        <v>92</v>
      </c>
      <c r="E21" s="134" t="s">
        <v>93</v>
      </c>
      <c r="F21" s="135">
        <v>57</v>
      </c>
      <c r="G21" s="135">
        <v>24700</v>
      </c>
      <c r="H21" s="135">
        <v>1243512</v>
      </c>
      <c r="I21" s="135">
        <v>1407900</v>
      </c>
      <c r="J21" s="135">
        <v>57</v>
      </c>
      <c r="K21" s="135">
        <v>57</v>
      </c>
      <c r="L21" s="135">
        <v>22450</v>
      </c>
      <c r="M21" s="135">
        <v>1243512</v>
      </c>
      <c r="N21" s="135">
        <v>1279650</v>
      </c>
      <c r="O21" s="135">
        <v>-128250</v>
      </c>
      <c r="P21" s="135">
        <v>36138</v>
      </c>
      <c r="Q21" s="136">
        <v>2.9</v>
      </c>
      <c r="R21" s="136">
        <v>-9.1</v>
      </c>
    </row>
    <row r="22" spans="1:18">
      <c r="A22" s="128" t="s">
        <v>61</v>
      </c>
      <c r="B22" s="129" t="s">
        <v>84</v>
      </c>
      <c r="C22" s="130" t="s">
        <v>85</v>
      </c>
      <c r="D22" s="129" t="s">
        <v>271</v>
      </c>
      <c r="E22" s="130" t="s">
        <v>272</v>
      </c>
      <c r="F22" s="131">
        <v>9000</v>
      </c>
      <c r="G22" s="131">
        <v>29800</v>
      </c>
      <c r="H22" s="131">
        <v>275002175</v>
      </c>
      <c r="I22" s="131">
        <v>268200000</v>
      </c>
      <c r="J22" s="131">
        <v>9000</v>
      </c>
      <c r="K22" s="131">
        <v>9000</v>
      </c>
      <c r="L22" s="131">
        <v>31350</v>
      </c>
      <c r="M22" s="131">
        <v>275002175</v>
      </c>
      <c r="N22" s="131">
        <v>282150000</v>
      </c>
      <c r="O22" s="131">
        <v>13950000</v>
      </c>
      <c r="P22" s="131">
        <v>7147825</v>
      </c>
      <c r="Q22" s="132">
        <v>2.59</v>
      </c>
      <c r="R22" s="132">
        <v>5.2</v>
      </c>
    </row>
    <row r="23" spans="1:18">
      <c r="A23" s="128" t="s">
        <v>63</v>
      </c>
      <c r="B23" s="133" t="s">
        <v>84</v>
      </c>
      <c r="C23" s="134" t="s">
        <v>85</v>
      </c>
      <c r="D23" s="133" t="s">
        <v>296</v>
      </c>
      <c r="E23" s="134" t="s">
        <v>297</v>
      </c>
      <c r="F23" s="135">
        <v>0</v>
      </c>
      <c r="G23" s="135">
        <v>2203000</v>
      </c>
      <c r="H23" s="135">
        <v>0</v>
      </c>
      <c r="I23" s="135">
        <v>0</v>
      </c>
      <c r="J23" s="135">
        <v>110</v>
      </c>
      <c r="K23" s="135">
        <v>110</v>
      </c>
      <c r="L23" s="135">
        <v>1918000</v>
      </c>
      <c r="M23" s="135">
        <v>206763000</v>
      </c>
      <c r="N23" s="135">
        <v>210980000</v>
      </c>
      <c r="O23" s="135">
        <v>4217000</v>
      </c>
      <c r="P23" s="135">
        <v>4217000</v>
      </c>
      <c r="Q23" s="136">
        <v>2.0299999999999998</v>
      </c>
      <c r="R23" s="136">
        <v>-12.93</v>
      </c>
    </row>
    <row r="24" spans="1:18">
      <c r="A24" s="128" t="s">
        <v>64</v>
      </c>
      <c r="B24" s="129" t="s">
        <v>84</v>
      </c>
      <c r="C24" s="130" t="s">
        <v>85</v>
      </c>
      <c r="D24" s="129" t="s">
        <v>283</v>
      </c>
      <c r="E24" s="130" t="s">
        <v>284</v>
      </c>
      <c r="F24" s="131">
        <v>20000</v>
      </c>
      <c r="G24" s="131">
        <v>10115</v>
      </c>
      <c r="H24" s="131">
        <v>202764289</v>
      </c>
      <c r="I24" s="131">
        <v>202300000</v>
      </c>
      <c r="J24" s="131">
        <v>20000</v>
      </c>
      <c r="K24" s="131">
        <v>20000</v>
      </c>
      <c r="L24" s="131">
        <v>10295</v>
      </c>
      <c r="M24" s="131">
        <v>202764289</v>
      </c>
      <c r="N24" s="131">
        <v>205900000</v>
      </c>
      <c r="O24" s="131">
        <v>3600000</v>
      </c>
      <c r="P24" s="131">
        <v>3135711</v>
      </c>
      <c r="Q24" s="132">
        <v>1.54</v>
      </c>
      <c r="R24" s="132">
        <v>1.77</v>
      </c>
    </row>
    <row r="25" spans="1:18">
      <c r="A25" s="128" t="s">
        <v>65</v>
      </c>
      <c r="B25" s="133" t="s">
        <v>84</v>
      </c>
      <c r="C25" s="134" t="s">
        <v>85</v>
      </c>
      <c r="D25" s="133" t="s">
        <v>298</v>
      </c>
      <c r="E25" s="134" t="s">
        <v>299</v>
      </c>
      <c r="F25" s="135">
        <v>0</v>
      </c>
      <c r="G25" s="135">
        <v>31215</v>
      </c>
      <c r="H25" s="135">
        <v>0</v>
      </c>
      <c r="I25" s="135">
        <v>0</v>
      </c>
      <c r="J25" s="135">
        <v>200</v>
      </c>
      <c r="K25" s="135">
        <v>10000</v>
      </c>
      <c r="L25" s="135">
        <v>30830</v>
      </c>
      <c r="M25" s="135">
        <v>6086000</v>
      </c>
      <c r="N25" s="135">
        <v>6166000</v>
      </c>
      <c r="O25" s="135">
        <v>80000</v>
      </c>
      <c r="P25" s="135">
        <v>80000</v>
      </c>
      <c r="Q25" s="136">
        <v>1.31</v>
      </c>
      <c r="R25" s="136">
        <v>-1.23</v>
      </c>
    </row>
    <row r="26" spans="1:18">
      <c r="A26" s="128" t="s">
        <v>66</v>
      </c>
      <c r="B26" s="129" t="s">
        <v>84</v>
      </c>
      <c r="C26" s="130" t="s">
        <v>85</v>
      </c>
      <c r="D26" s="129" t="s">
        <v>62</v>
      </c>
      <c r="E26" s="130" t="s">
        <v>8</v>
      </c>
      <c r="F26" s="131">
        <v>3900</v>
      </c>
      <c r="G26" s="131">
        <v>27500</v>
      </c>
      <c r="H26" s="131">
        <v>105448559</v>
      </c>
      <c r="I26" s="131">
        <v>107250000</v>
      </c>
      <c r="J26" s="131">
        <v>4489</v>
      </c>
      <c r="K26" s="131">
        <v>5000</v>
      </c>
      <c r="L26" s="131">
        <v>27200</v>
      </c>
      <c r="M26" s="131">
        <v>121227459</v>
      </c>
      <c r="N26" s="131">
        <v>122100800</v>
      </c>
      <c r="O26" s="131">
        <v>-928100</v>
      </c>
      <c r="P26" s="131">
        <v>873341</v>
      </c>
      <c r="Q26" s="132">
        <v>0.72</v>
      </c>
      <c r="R26" s="132">
        <v>-1.0900000000000001</v>
      </c>
    </row>
    <row r="27" spans="1:18">
      <c r="A27" s="128" t="s">
        <v>68</v>
      </c>
      <c r="B27" s="133" t="s">
        <v>84</v>
      </c>
      <c r="C27" s="134" t="s">
        <v>85</v>
      </c>
      <c r="D27" s="133" t="s">
        <v>190</v>
      </c>
      <c r="E27" s="134" t="s">
        <v>186</v>
      </c>
      <c r="F27" s="135">
        <v>109600</v>
      </c>
      <c r="G27" s="135">
        <v>2045</v>
      </c>
      <c r="H27" s="135">
        <v>220782165</v>
      </c>
      <c r="I27" s="135">
        <v>224132000</v>
      </c>
      <c r="J27" s="135">
        <v>109600</v>
      </c>
      <c r="K27" s="135">
        <v>109600</v>
      </c>
      <c r="L27" s="135">
        <v>2025</v>
      </c>
      <c r="M27" s="135">
        <v>220782165</v>
      </c>
      <c r="N27" s="135">
        <v>221940000</v>
      </c>
      <c r="O27" s="135">
        <v>-2192000</v>
      </c>
      <c r="P27" s="135">
        <v>1157835</v>
      </c>
      <c r="Q27" s="136">
        <v>0.52</v>
      </c>
      <c r="R27" s="136">
        <v>-0.97</v>
      </c>
    </row>
    <row r="28" spans="1:18">
      <c r="A28" s="128" t="s">
        <v>69</v>
      </c>
      <c r="B28" s="129" t="s">
        <v>84</v>
      </c>
      <c r="C28" s="130" t="s">
        <v>85</v>
      </c>
      <c r="D28" s="129" t="s">
        <v>300</v>
      </c>
      <c r="E28" s="130" t="s">
        <v>301</v>
      </c>
      <c r="F28" s="131">
        <v>86</v>
      </c>
      <c r="G28" s="131">
        <v>0</v>
      </c>
      <c r="H28" s="131">
        <v>0</v>
      </c>
      <c r="I28" s="131">
        <v>0</v>
      </c>
      <c r="J28" s="131">
        <v>86</v>
      </c>
      <c r="K28" s="131">
        <v>86</v>
      </c>
      <c r="L28" s="131">
        <v>18540</v>
      </c>
      <c r="M28" s="131">
        <v>0</v>
      </c>
      <c r="N28" s="131">
        <v>1594440</v>
      </c>
      <c r="O28" s="131">
        <v>1594440</v>
      </c>
      <c r="P28" s="131">
        <v>1594440</v>
      </c>
      <c r="Q28" s="132">
        <v>0</v>
      </c>
      <c r="R28" s="132">
        <v>0</v>
      </c>
    </row>
    <row r="29" spans="1:18">
      <c r="A29" s="128" t="s">
        <v>72</v>
      </c>
      <c r="B29" s="133" t="s">
        <v>84</v>
      </c>
      <c r="C29" s="134" t="s">
        <v>85</v>
      </c>
      <c r="D29" s="133" t="s">
        <v>286</v>
      </c>
      <c r="E29" s="134" t="s">
        <v>287</v>
      </c>
      <c r="F29" s="135">
        <v>2</v>
      </c>
      <c r="G29" s="135">
        <v>0</v>
      </c>
      <c r="H29" s="135">
        <v>43430</v>
      </c>
      <c r="I29" s="135">
        <v>43430</v>
      </c>
      <c r="J29" s="135">
        <v>2</v>
      </c>
      <c r="K29" s="135">
        <v>2</v>
      </c>
      <c r="L29" s="135">
        <v>21715</v>
      </c>
      <c r="M29" s="135">
        <v>43430</v>
      </c>
      <c r="N29" s="135">
        <v>43430</v>
      </c>
      <c r="O29" s="135">
        <v>0</v>
      </c>
      <c r="P29" s="135">
        <v>0</v>
      </c>
      <c r="Q29" s="136">
        <v>0</v>
      </c>
      <c r="R29" s="136">
        <v>0</v>
      </c>
    </row>
    <row r="30" spans="1:18" ht="22.5">
      <c r="A30" s="128" t="s">
        <v>74</v>
      </c>
      <c r="B30" s="129" t="s">
        <v>84</v>
      </c>
      <c r="C30" s="130" t="s">
        <v>85</v>
      </c>
      <c r="D30" s="129" t="s">
        <v>278</v>
      </c>
      <c r="E30" s="130" t="s">
        <v>279</v>
      </c>
      <c r="F30" s="131">
        <v>70</v>
      </c>
      <c r="G30" s="131">
        <v>0</v>
      </c>
      <c r="H30" s="131">
        <v>141400</v>
      </c>
      <c r="I30" s="131">
        <v>141400</v>
      </c>
      <c r="J30" s="131">
        <v>70</v>
      </c>
      <c r="K30" s="131">
        <v>70</v>
      </c>
      <c r="L30" s="131">
        <v>2020</v>
      </c>
      <c r="M30" s="131">
        <v>141400</v>
      </c>
      <c r="N30" s="131">
        <v>141400</v>
      </c>
      <c r="O30" s="131">
        <v>0</v>
      </c>
      <c r="P30" s="131">
        <v>0</v>
      </c>
      <c r="Q30" s="132">
        <v>0</v>
      </c>
      <c r="R30" s="132">
        <v>0</v>
      </c>
    </row>
    <row r="31" spans="1:18">
      <c r="A31" s="128" t="s">
        <v>75</v>
      </c>
      <c r="B31" s="133" t="s">
        <v>84</v>
      </c>
      <c r="C31" s="134" t="s">
        <v>85</v>
      </c>
      <c r="D31" s="133" t="s">
        <v>73</v>
      </c>
      <c r="E31" s="134" t="s">
        <v>0</v>
      </c>
      <c r="F31" s="135">
        <v>5500</v>
      </c>
      <c r="G31" s="135">
        <v>42850</v>
      </c>
      <c r="H31" s="135">
        <v>215344701</v>
      </c>
      <c r="I31" s="135">
        <v>235675000</v>
      </c>
      <c r="J31" s="135">
        <v>5500</v>
      </c>
      <c r="K31" s="135">
        <v>5500</v>
      </c>
      <c r="L31" s="135">
        <v>38850</v>
      </c>
      <c r="M31" s="135">
        <v>215344701</v>
      </c>
      <c r="N31" s="135">
        <v>213675000</v>
      </c>
      <c r="O31" s="135">
        <v>-22000000</v>
      </c>
      <c r="P31" s="135">
        <v>-1669701</v>
      </c>
      <c r="Q31" s="136">
        <v>-0.77</v>
      </c>
      <c r="R31" s="136">
        <v>-9.33</v>
      </c>
    </row>
    <row r="32" spans="1:18">
      <c r="A32" s="128" t="s">
        <v>76</v>
      </c>
      <c r="B32" s="129" t="s">
        <v>84</v>
      </c>
      <c r="C32" s="130" t="s">
        <v>85</v>
      </c>
      <c r="D32" s="129" t="s">
        <v>50</v>
      </c>
      <c r="E32" s="130" t="s">
        <v>9</v>
      </c>
      <c r="F32" s="131">
        <v>2800</v>
      </c>
      <c r="G32" s="131">
        <v>278500</v>
      </c>
      <c r="H32" s="131">
        <v>767200000</v>
      </c>
      <c r="I32" s="131">
        <v>779800000</v>
      </c>
      <c r="J32" s="131">
        <v>2800</v>
      </c>
      <c r="K32" s="131">
        <v>2800</v>
      </c>
      <c r="L32" s="131">
        <v>270500</v>
      </c>
      <c r="M32" s="131">
        <v>767200000</v>
      </c>
      <c r="N32" s="131">
        <v>757400000</v>
      </c>
      <c r="O32" s="131">
        <v>-22400000</v>
      </c>
      <c r="P32" s="131">
        <v>-9800000</v>
      </c>
      <c r="Q32" s="132">
        <v>-1.27</v>
      </c>
      <c r="R32" s="132">
        <v>-2.87</v>
      </c>
    </row>
    <row r="33" spans="1:18">
      <c r="A33" s="128" t="s">
        <v>77</v>
      </c>
      <c r="B33" s="133" t="s">
        <v>84</v>
      </c>
      <c r="C33" s="134" t="s">
        <v>85</v>
      </c>
      <c r="D33" s="133" t="s">
        <v>209</v>
      </c>
      <c r="E33" s="134" t="s">
        <v>210</v>
      </c>
      <c r="F33" s="135">
        <v>3800</v>
      </c>
      <c r="G33" s="135">
        <v>46595</v>
      </c>
      <c r="H33" s="135">
        <v>173508900</v>
      </c>
      <c r="I33" s="135">
        <v>177061000</v>
      </c>
      <c r="J33" s="135">
        <v>5000</v>
      </c>
      <c r="K33" s="135">
        <v>5000</v>
      </c>
      <c r="L33" s="135">
        <v>43300</v>
      </c>
      <c r="M33" s="135">
        <v>225462400</v>
      </c>
      <c r="N33" s="135">
        <v>216500000</v>
      </c>
      <c r="O33" s="135">
        <v>-12514500</v>
      </c>
      <c r="P33" s="135">
        <v>-8962400</v>
      </c>
      <c r="Q33" s="136">
        <v>-3.97</v>
      </c>
      <c r="R33" s="136">
        <v>-7.07</v>
      </c>
    </row>
    <row r="34" spans="1:18">
      <c r="A34" s="128" t="s">
        <v>78</v>
      </c>
      <c r="B34" s="129" t="s">
        <v>84</v>
      </c>
      <c r="C34" s="130" t="s">
        <v>85</v>
      </c>
      <c r="D34" s="129" t="s">
        <v>80</v>
      </c>
      <c r="E34" s="130" t="s">
        <v>2</v>
      </c>
      <c r="F34" s="131">
        <v>15900</v>
      </c>
      <c r="G34" s="131">
        <v>14500</v>
      </c>
      <c r="H34" s="131">
        <v>250586217</v>
      </c>
      <c r="I34" s="131">
        <v>230550000</v>
      </c>
      <c r="J34" s="131">
        <v>15994</v>
      </c>
      <c r="K34" s="131">
        <v>17000</v>
      </c>
      <c r="L34" s="131">
        <v>14380</v>
      </c>
      <c r="M34" s="131">
        <v>251923717</v>
      </c>
      <c r="N34" s="131">
        <v>229993720</v>
      </c>
      <c r="O34" s="131">
        <v>-1893780</v>
      </c>
      <c r="P34" s="131">
        <v>-21929997</v>
      </c>
      <c r="Q34" s="132">
        <v>-8.6999999999999993</v>
      </c>
      <c r="R34" s="132">
        <v>-0.82</v>
      </c>
    </row>
    <row r="35" spans="1:18">
      <c r="A35" s="128" t="s">
        <v>79</v>
      </c>
      <c r="B35" s="133" t="s">
        <v>84</v>
      </c>
      <c r="C35" s="134" t="s">
        <v>85</v>
      </c>
      <c r="D35" s="133" t="s">
        <v>103</v>
      </c>
      <c r="E35" s="134" t="s">
        <v>12</v>
      </c>
      <c r="F35" s="135">
        <v>7200</v>
      </c>
      <c r="G35" s="135">
        <v>25530</v>
      </c>
      <c r="H35" s="135">
        <v>204525454</v>
      </c>
      <c r="I35" s="135">
        <v>183816000</v>
      </c>
      <c r="J35" s="135">
        <v>7200</v>
      </c>
      <c r="K35" s="135">
        <v>7200</v>
      </c>
      <c r="L35" s="135">
        <v>25650</v>
      </c>
      <c r="M35" s="135">
        <v>204525454</v>
      </c>
      <c r="N35" s="135">
        <v>184680000</v>
      </c>
      <c r="O35" s="135">
        <v>864000</v>
      </c>
      <c r="P35" s="135">
        <v>-19845454</v>
      </c>
      <c r="Q35" s="136">
        <v>-9.6999999999999993</v>
      </c>
      <c r="R35" s="136">
        <v>0.47</v>
      </c>
    </row>
    <row r="36" spans="1:18">
      <c r="A36" s="128" t="s">
        <v>81</v>
      </c>
      <c r="B36" s="129" t="s">
        <v>84</v>
      </c>
      <c r="C36" s="130" t="s">
        <v>85</v>
      </c>
      <c r="D36" s="129" t="s">
        <v>273</v>
      </c>
      <c r="E36" s="130" t="s">
        <v>274</v>
      </c>
      <c r="F36" s="131">
        <v>1000</v>
      </c>
      <c r="G36" s="131">
        <v>181400</v>
      </c>
      <c r="H36" s="131">
        <v>188660131</v>
      </c>
      <c r="I36" s="131">
        <v>181400000</v>
      </c>
      <c r="J36" s="131">
        <v>1000</v>
      </c>
      <c r="K36" s="131">
        <v>1000</v>
      </c>
      <c r="L36" s="131">
        <v>170100</v>
      </c>
      <c r="M36" s="131">
        <v>188660131</v>
      </c>
      <c r="N36" s="131">
        <v>170100000</v>
      </c>
      <c r="O36" s="131">
        <v>-11300000</v>
      </c>
      <c r="P36" s="131">
        <v>-18560131</v>
      </c>
      <c r="Q36" s="132">
        <v>-9.83</v>
      </c>
      <c r="R36" s="132">
        <v>-6.22</v>
      </c>
    </row>
    <row r="37" spans="1:18">
      <c r="A37" s="128"/>
      <c r="B37" s="133"/>
      <c r="C37" s="134"/>
      <c r="D37" s="133"/>
      <c r="E37" s="134"/>
      <c r="F37" s="135"/>
      <c r="G37" s="135"/>
      <c r="H37" s="135"/>
      <c r="I37" s="135"/>
      <c r="J37" s="135"/>
      <c r="K37" s="152"/>
      <c r="L37" s="135"/>
      <c r="M37" s="135"/>
      <c r="N37" s="135"/>
      <c r="O37" s="135"/>
      <c r="P37" s="135"/>
      <c r="Q37" s="136"/>
      <c r="R37" s="136"/>
    </row>
    <row r="38" spans="1:18">
      <c r="A38" s="128"/>
      <c r="B38" s="129"/>
      <c r="C38" s="130"/>
      <c r="D38" s="129"/>
      <c r="E38" s="130"/>
      <c r="F38" s="131"/>
      <c r="G38" s="131"/>
      <c r="H38" s="131"/>
      <c r="I38" s="131"/>
      <c r="J38" s="131"/>
      <c r="K38" s="152"/>
      <c r="L38" s="131"/>
      <c r="M38" s="131"/>
      <c r="N38" s="131"/>
      <c r="O38" s="131"/>
      <c r="P38" s="131"/>
      <c r="Q38" s="132"/>
      <c r="R38" s="132"/>
    </row>
    <row r="39" spans="1:18">
      <c r="A39" s="128" t="s">
        <v>97</v>
      </c>
      <c r="B39" s="133" t="s">
        <v>84</v>
      </c>
      <c r="C39" s="134" t="s">
        <v>85</v>
      </c>
      <c r="D39" s="133" t="s">
        <v>201</v>
      </c>
      <c r="E39" s="134" t="s">
        <v>202</v>
      </c>
      <c r="F39" s="135">
        <v>51</v>
      </c>
      <c r="G39" s="135">
        <v>4925</v>
      </c>
      <c r="H39" s="135">
        <v>257550</v>
      </c>
      <c r="I39" s="135">
        <v>251175</v>
      </c>
      <c r="J39" s="135">
        <v>51</v>
      </c>
      <c r="K39" s="135">
        <v>51</v>
      </c>
      <c r="L39" s="135">
        <v>4500</v>
      </c>
      <c r="M39" s="135">
        <v>257550</v>
      </c>
      <c r="N39" s="135">
        <v>229500</v>
      </c>
      <c r="O39" s="135">
        <v>-21675</v>
      </c>
      <c r="P39" s="135">
        <v>-28050</v>
      </c>
      <c r="Q39" s="136">
        <v>-10.89</v>
      </c>
      <c r="R39" s="136">
        <v>-8.6199999999999992</v>
      </c>
    </row>
    <row r="40" spans="1:18">
      <c r="A40" s="128" t="s">
        <v>98</v>
      </c>
      <c r="B40" s="129" t="s">
        <v>84</v>
      </c>
      <c r="C40" s="130" t="s">
        <v>85</v>
      </c>
      <c r="D40" s="129" t="s">
        <v>281</v>
      </c>
      <c r="E40" s="130" t="s">
        <v>282</v>
      </c>
      <c r="F40" s="131">
        <v>1000</v>
      </c>
      <c r="G40" s="131">
        <v>177800</v>
      </c>
      <c r="H40" s="131">
        <v>176848565</v>
      </c>
      <c r="I40" s="131">
        <v>177800000</v>
      </c>
      <c r="J40" s="131">
        <v>1000</v>
      </c>
      <c r="K40" s="131">
        <v>1000</v>
      </c>
      <c r="L40" s="131">
        <v>157500</v>
      </c>
      <c r="M40" s="131">
        <v>176848565</v>
      </c>
      <c r="N40" s="131">
        <v>157500000</v>
      </c>
      <c r="O40" s="131">
        <v>-20300000</v>
      </c>
      <c r="P40" s="131">
        <v>-19348565</v>
      </c>
      <c r="Q40" s="132">
        <v>-10.94</v>
      </c>
      <c r="R40" s="132">
        <v>-11.41</v>
      </c>
    </row>
    <row r="41" spans="1:18">
      <c r="A41" s="128"/>
      <c r="B41" s="133"/>
      <c r="C41" s="134"/>
      <c r="D41" s="133"/>
      <c r="E41" s="134"/>
      <c r="F41" s="135"/>
      <c r="G41" s="135"/>
      <c r="H41" s="135"/>
      <c r="I41" s="135"/>
      <c r="J41" s="135"/>
      <c r="K41" s="152"/>
      <c r="L41" s="135"/>
      <c r="M41" s="135"/>
      <c r="N41" s="135"/>
      <c r="O41" s="135"/>
      <c r="P41" s="135"/>
      <c r="Q41" s="136"/>
      <c r="R41" s="136"/>
    </row>
    <row r="42" spans="1:18">
      <c r="A42" s="128" t="s">
        <v>100</v>
      </c>
      <c r="B42" s="129" t="s">
        <v>84</v>
      </c>
      <c r="C42" s="130" t="s">
        <v>85</v>
      </c>
      <c r="D42" s="129" t="s">
        <v>267</v>
      </c>
      <c r="E42" s="130" t="s">
        <v>268</v>
      </c>
      <c r="F42" s="131">
        <v>10000</v>
      </c>
      <c r="G42" s="131">
        <v>30100</v>
      </c>
      <c r="H42" s="131">
        <v>347526041</v>
      </c>
      <c r="I42" s="131">
        <v>301000000</v>
      </c>
      <c r="J42" s="131">
        <v>10000</v>
      </c>
      <c r="K42" s="131">
        <v>10000</v>
      </c>
      <c r="L42" s="131">
        <v>30100</v>
      </c>
      <c r="M42" s="131">
        <v>347526041</v>
      </c>
      <c r="N42" s="131">
        <v>301000000</v>
      </c>
      <c r="O42" s="131">
        <v>0</v>
      </c>
      <c r="P42" s="131">
        <v>-46526041</v>
      </c>
      <c r="Q42" s="132">
        <v>-13.38</v>
      </c>
      <c r="R42" s="132">
        <v>0</v>
      </c>
    </row>
    <row r="43" spans="1:18">
      <c r="A43" s="128" t="s">
        <v>101</v>
      </c>
      <c r="B43" s="133" t="s">
        <v>84</v>
      </c>
      <c r="C43" s="134" t="s">
        <v>85</v>
      </c>
      <c r="D43" s="133" t="s">
        <v>269</v>
      </c>
      <c r="E43" s="134" t="s">
        <v>270</v>
      </c>
      <c r="F43" s="135">
        <v>5000</v>
      </c>
      <c r="G43" s="135">
        <v>58100</v>
      </c>
      <c r="H43" s="135">
        <v>327949750</v>
      </c>
      <c r="I43" s="135">
        <v>290500000</v>
      </c>
      <c r="J43" s="135">
        <v>5000</v>
      </c>
      <c r="K43" s="135">
        <v>5000</v>
      </c>
      <c r="L43" s="135">
        <v>56700</v>
      </c>
      <c r="M43" s="135">
        <v>327949750</v>
      </c>
      <c r="N43" s="135">
        <v>283500000</v>
      </c>
      <c r="O43" s="135">
        <v>-7000000</v>
      </c>
      <c r="P43" s="135">
        <v>-44449750</v>
      </c>
      <c r="Q43" s="136">
        <v>-13.55</v>
      </c>
      <c r="R43" s="136">
        <v>-2.4</v>
      </c>
    </row>
    <row r="44" spans="1:18">
      <c r="A44" s="128" t="s">
        <v>102</v>
      </c>
      <c r="B44" s="129" t="s">
        <v>84</v>
      </c>
      <c r="C44" s="130" t="s">
        <v>85</v>
      </c>
      <c r="D44" s="129" t="s">
        <v>106</v>
      </c>
      <c r="E44" s="130" t="s">
        <v>7</v>
      </c>
      <c r="F44" s="131">
        <v>35000</v>
      </c>
      <c r="G44" s="131">
        <v>14060</v>
      </c>
      <c r="H44" s="131">
        <v>563406515</v>
      </c>
      <c r="I44" s="131">
        <v>492100000</v>
      </c>
      <c r="J44" s="131">
        <v>38000</v>
      </c>
      <c r="K44" s="131">
        <v>38000</v>
      </c>
      <c r="L44" s="131">
        <v>13330</v>
      </c>
      <c r="M44" s="131">
        <v>603884315</v>
      </c>
      <c r="N44" s="131">
        <v>506540000</v>
      </c>
      <c r="O44" s="131">
        <v>-26037800</v>
      </c>
      <c r="P44" s="131">
        <v>-97344315</v>
      </c>
      <c r="Q44" s="132">
        <v>-16.11</v>
      </c>
      <c r="R44" s="132">
        <v>-5.19</v>
      </c>
    </row>
    <row r="45" spans="1:18">
      <c r="A45" s="128" t="s">
        <v>104</v>
      </c>
      <c r="B45" s="133" t="s">
        <v>84</v>
      </c>
      <c r="C45" s="134" t="s">
        <v>85</v>
      </c>
      <c r="D45" s="133" t="s">
        <v>188</v>
      </c>
      <c r="E45" s="134" t="s">
        <v>189</v>
      </c>
      <c r="F45" s="135">
        <v>23000</v>
      </c>
      <c r="G45" s="135">
        <v>8315</v>
      </c>
      <c r="H45" s="135">
        <v>223773154</v>
      </c>
      <c r="I45" s="135">
        <v>191245000</v>
      </c>
      <c r="J45" s="135">
        <v>23000</v>
      </c>
      <c r="K45" s="135">
        <v>23000</v>
      </c>
      <c r="L45" s="135">
        <v>8065</v>
      </c>
      <c r="M45" s="135">
        <v>223773154</v>
      </c>
      <c r="N45" s="135">
        <v>185495000</v>
      </c>
      <c r="O45" s="135">
        <v>-5750000</v>
      </c>
      <c r="P45" s="135">
        <v>-38278154</v>
      </c>
      <c r="Q45" s="136">
        <v>-17.100000000000001</v>
      </c>
      <c r="R45" s="136">
        <v>-3</v>
      </c>
    </row>
    <row r="46" spans="1:18">
      <c r="A46" s="128"/>
      <c r="B46" s="129"/>
      <c r="C46" s="130"/>
      <c r="D46" s="129"/>
      <c r="E46" s="130"/>
      <c r="F46" s="131"/>
      <c r="G46" s="131"/>
      <c r="H46" s="131"/>
      <c r="I46" s="131"/>
      <c r="J46" s="131"/>
      <c r="K46" s="152"/>
      <c r="L46" s="131"/>
      <c r="M46" s="131"/>
      <c r="N46" s="131"/>
      <c r="O46" s="131"/>
      <c r="P46" s="131"/>
      <c r="Q46" s="132"/>
      <c r="R46" s="132"/>
    </row>
    <row r="47" spans="1:18">
      <c r="A47" s="128" t="s">
        <v>105</v>
      </c>
      <c r="B47" s="133" t="s">
        <v>84</v>
      </c>
      <c r="C47" s="134" t="s">
        <v>85</v>
      </c>
      <c r="D47" s="133" t="s">
        <v>37</v>
      </c>
      <c r="E47" s="134" t="s">
        <v>38</v>
      </c>
      <c r="F47" s="135">
        <v>141</v>
      </c>
      <c r="G47" s="135">
        <v>117800</v>
      </c>
      <c r="H47" s="135">
        <v>19655400</v>
      </c>
      <c r="I47" s="135">
        <v>16609800</v>
      </c>
      <c r="J47" s="135">
        <v>141</v>
      </c>
      <c r="K47" s="135">
        <v>141</v>
      </c>
      <c r="L47" s="135">
        <v>110900</v>
      </c>
      <c r="M47" s="135">
        <v>19655400</v>
      </c>
      <c r="N47" s="135">
        <v>15636900</v>
      </c>
      <c r="O47" s="135">
        <v>-972900</v>
      </c>
      <c r="P47" s="135">
        <v>-4018500</v>
      </c>
      <c r="Q47" s="136">
        <v>-20.440000000000001</v>
      </c>
      <c r="R47" s="136">
        <v>-5.85</v>
      </c>
    </row>
    <row r="48" spans="1:18">
      <c r="A48" s="128"/>
      <c r="B48" s="129"/>
      <c r="C48" s="130"/>
      <c r="D48" s="129"/>
      <c r="E48" s="130"/>
      <c r="F48" s="131"/>
      <c r="G48" s="131"/>
      <c r="H48" s="131"/>
      <c r="I48" s="131"/>
      <c r="J48" s="131"/>
      <c r="K48" s="152"/>
      <c r="L48" s="131"/>
      <c r="M48" s="131"/>
      <c r="N48" s="131"/>
      <c r="O48" s="131"/>
      <c r="P48" s="131"/>
      <c r="Q48" s="132"/>
      <c r="R48" s="132"/>
    </row>
    <row r="49" spans="1:18">
      <c r="A49" s="128"/>
      <c r="B49" s="133"/>
      <c r="C49" s="134"/>
      <c r="D49" s="133"/>
      <c r="E49" s="134"/>
      <c r="F49" s="135"/>
      <c r="G49" s="135"/>
      <c r="H49" s="135"/>
      <c r="I49" s="135"/>
      <c r="J49" s="135"/>
      <c r="K49" s="152"/>
      <c r="L49" s="135"/>
      <c r="M49" s="135"/>
      <c r="N49" s="135"/>
      <c r="O49" s="135"/>
      <c r="P49" s="135"/>
      <c r="Q49" s="136"/>
      <c r="R49" s="136"/>
    </row>
    <row r="50" spans="1:18">
      <c r="A50" s="128"/>
      <c r="B50" s="129"/>
      <c r="C50" s="130"/>
      <c r="D50" s="129"/>
      <c r="E50" s="130"/>
      <c r="F50" s="131"/>
      <c r="G50" s="131"/>
      <c r="H50" s="131"/>
      <c r="I50" s="131"/>
      <c r="J50" s="131"/>
      <c r="K50" s="152"/>
      <c r="L50" s="131"/>
      <c r="M50" s="131"/>
      <c r="N50" s="131"/>
      <c r="O50" s="131"/>
      <c r="P50" s="131"/>
      <c r="Q50" s="132"/>
      <c r="R50" s="132"/>
    </row>
    <row r="51" spans="1:18">
      <c r="A51" s="128"/>
      <c r="B51" s="133"/>
      <c r="C51" s="134"/>
      <c r="D51" s="133"/>
      <c r="E51" s="134"/>
      <c r="F51" s="135"/>
      <c r="G51" s="135"/>
      <c r="H51" s="135"/>
      <c r="I51" s="135"/>
      <c r="J51" s="135"/>
      <c r="K51" s="152"/>
      <c r="L51" s="135"/>
      <c r="M51" s="135"/>
      <c r="N51" s="135"/>
      <c r="O51" s="135"/>
      <c r="P51" s="135"/>
      <c r="Q51" s="136"/>
      <c r="R51" s="136"/>
    </row>
    <row r="52" spans="1:18">
      <c r="A52" s="128" t="s">
        <v>302</v>
      </c>
      <c r="B52" s="129" t="s">
        <v>84</v>
      </c>
      <c r="C52" s="130" t="s">
        <v>85</v>
      </c>
      <c r="D52" s="129" t="s">
        <v>82</v>
      </c>
      <c r="E52" s="130" t="s">
        <v>1</v>
      </c>
      <c r="F52" s="131">
        <v>5000</v>
      </c>
      <c r="G52" s="131">
        <v>34600</v>
      </c>
      <c r="H52" s="131">
        <v>265737410</v>
      </c>
      <c r="I52" s="131">
        <v>173000000</v>
      </c>
      <c r="J52" s="131">
        <v>5000</v>
      </c>
      <c r="K52" s="131">
        <v>5000</v>
      </c>
      <c r="L52" s="131">
        <v>33900</v>
      </c>
      <c r="M52" s="131">
        <v>265737410</v>
      </c>
      <c r="N52" s="131">
        <v>169500000</v>
      </c>
      <c r="O52" s="131">
        <v>-3500000</v>
      </c>
      <c r="P52" s="131">
        <v>-96237410</v>
      </c>
      <c r="Q52" s="132">
        <v>-36.21</v>
      </c>
      <c r="R52" s="132">
        <v>-2.02</v>
      </c>
    </row>
    <row r="53" spans="1:18">
      <c r="A53" s="137" t="s">
        <v>160</v>
      </c>
      <c r="B53" s="137" t="s">
        <v>160</v>
      </c>
      <c r="C53" s="137" t="s">
        <v>160</v>
      </c>
      <c r="D53" s="137" t="s">
        <v>160</v>
      </c>
      <c r="E53" s="137" t="s">
        <v>160</v>
      </c>
      <c r="F53" s="137" t="s">
        <v>160</v>
      </c>
      <c r="G53" s="137" t="s">
        <v>160</v>
      </c>
      <c r="H53" s="138">
        <v>9139473208</v>
      </c>
      <c r="I53" s="138">
        <v>9958383845</v>
      </c>
      <c r="J53" s="138">
        <v>357052</v>
      </c>
      <c r="K53" s="138">
        <v>368369</v>
      </c>
      <c r="L53" s="137" t="s">
        <v>160</v>
      </c>
      <c r="M53" s="138">
        <v>8068211472</v>
      </c>
      <c r="N53" s="138">
        <v>8753037830</v>
      </c>
      <c r="O53" s="138">
        <v>-351674421</v>
      </c>
      <c r="P53" s="138">
        <v>467236216</v>
      </c>
      <c r="Q53" s="137" t="s">
        <v>160</v>
      </c>
      <c r="R53" s="137" t="s">
        <v>160</v>
      </c>
    </row>
    <row r="54" spans="1:18">
      <c r="A54" s="128"/>
      <c r="B54" s="129"/>
      <c r="C54" s="130"/>
      <c r="D54" s="129"/>
      <c r="E54" s="130"/>
      <c r="F54" s="131"/>
      <c r="G54" s="131"/>
      <c r="H54" s="131"/>
      <c r="I54" s="131"/>
      <c r="J54" s="131"/>
      <c r="K54" s="152"/>
      <c r="L54" s="131"/>
      <c r="M54" s="131"/>
      <c r="N54" s="131"/>
      <c r="O54" s="131"/>
      <c r="P54" s="131"/>
      <c r="Q54" s="132"/>
      <c r="R54" s="132"/>
    </row>
    <row r="55" spans="1:18">
      <c r="A55" s="128"/>
      <c r="B55" s="133"/>
      <c r="C55" s="134"/>
      <c r="D55" s="133"/>
      <c r="E55" s="134"/>
      <c r="F55" s="135"/>
      <c r="G55" s="135"/>
      <c r="H55" s="135"/>
      <c r="I55" s="135"/>
      <c r="J55" s="135"/>
      <c r="K55" s="152"/>
      <c r="L55" s="135"/>
      <c r="M55" s="135"/>
      <c r="N55" s="135"/>
      <c r="O55" s="135"/>
      <c r="P55" s="135"/>
      <c r="Q55" s="136"/>
      <c r="R55" s="136"/>
    </row>
    <row r="56" spans="1:18">
      <c r="A56" s="137"/>
      <c r="B56" s="137"/>
      <c r="C56" s="137"/>
      <c r="D56" s="137"/>
      <c r="E56" s="137"/>
      <c r="F56" s="137"/>
      <c r="G56" s="137"/>
      <c r="H56" s="138"/>
      <c r="I56" s="138"/>
      <c r="J56" s="138"/>
      <c r="K56" s="138"/>
      <c r="L56" s="137"/>
      <c r="M56" s="138"/>
      <c r="N56" s="138"/>
      <c r="O56" s="138"/>
      <c r="P56" s="138"/>
      <c r="Q56" s="137"/>
      <c r="R56" s="137"/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A68E-38EC-4D13-83B4-E8B2FA68EAE6}">
  <dimension ref="A1:R52"/>
  <sheetViews>
    <sheetView workbookViewId="0">
      <selection activeCell="A8" sqref="A8:R8"/>
    </sheetView>
  </sheetViews>
  <sheetFormatPr defaultRowHeight="13.5"/>
  <cols>
    <col min="1" max="1" width="4.140625" bestFit="1" customWidth="1"/>
    <col min="2" max="2" width="6.85546875" bestFit="1" customWidth="1"/>
    <col min="3" max="3" width="33.28515625" bestFit="1" customWidth="1"/>
    <col min="4" max="4" width="13.5703125" bestFit="1" customWidth="1"/>
    <col min="5" max="5" width="32.85546875" bestFit="1" customWidth="1"/>
    <col min="6" max="6" width="8.5703125" bestFit="1" customWidth="1"/>
    <col min="7" max="7" width="9.42578125" bestFit="1" customWidth="1"/>
    <col min="8" max="8" width="11.28515625" bestFit="1" customWidth="1"/>
    <col min="9" max="9" width="19" bestFit="1" customWidth="1"/>
    <col min="10" max="11" width="8.5703125" bestFit="1" customWidth="1"/>
    <col min="12" max="12" width="9.42578125" bestFit="1" customWidth="1"/>
    <col min="13" max="13" width="11.28515625" bestFit="1" customWidth="1"/>
    <col min="14" max="14" width="19" bestFit="1" customWidth="1"/>
    <col min="15" max="15" width="15.7109375" bestFit="1" customWidth="1"/>
    <col min="16" max="16" width="20.85546875" bestFit="1" customWidth="1"/>
    <col min="17" max="17" width="11" bestFit="1" customWidth="1"/>
    <col min="18" max="18" width="12.28515625" bestFit="1" customWidth="1"/>
  </cols>
  <sheetData>
    <row r="1" spans="1:18" ht="13.5" customHeight="1">
      <c r="A1" s="143" t="s">
        <v>21</v>
      </c>
      <c r="B1" s="145" t="s">
        <v>22</v>
      </c>
      <c r="C1" s="145" t="s">
        <v>23</v>
      </c>
      <c r="D1" s="145" t="s">
        <v>24</v>
      </c>
      <c r="E1" s="145" t="s">
        <v>25</v>
      </c>
      <c r="F1" s="140" t="s">
        <v>26</v>
      </c>
      <c r="G1" s="141"/>
      <c r="H1" s="141"/>
      <c r="I1" s="142"/>
      <c r="J1" s="140" t="s">
        <v>27</v>
      </c>
      <c r="K1" s="141"/>
      <c r="L1" s="141"/>
      <c r="M1" s="141"/>
      <c r="N1" s="142"/>
      <c r="O1" s="145" t="s">
        <v>264</v>
      </c>
      <c r="P1" s="145" t="s">
        <v>28</v>
      </c>
      <c r="Q1" s="145" t="s">
        <v>169</v>
      </c>
      <c r="R1" s="145" t="s">
        <v>29</v>
      </c>
    </row>
    <row r="2" spans="1:18" ht="33.75">
      <c r="A2" s="144"/>
      <c r="B2" s="146"/>
      <c r="C2" s="146"/>
      <c r="D2" s="146"/>
      <c r="E2" s="146"/>
      <c r="F2" s="139" t="s">
        <v>30</v>
      </c>
      <c r="G2" s="139" t="s">
        <v>31</v>
      </c>
      <c r="H2" s="139" t="s">
        <v>32</v>
      </c>
      <c r="I2" s="139" t="s">
        <v>33</v>
      </c>
      <c r="J2" s="139" t="s">
        <v>170</v>
      </c>
      <c r="K2" s="139" t="s">
        <v>280</v>
      </c>
      <c r="L2" s="139" t="s">
        <v>34</v>
      </c>
      <c r="M2" s="139" t="s">
        <v>32</v>
      </c>
      <c r="N2" s="139" t="s">
        <v>33</v>
      </c>
      <c r="O2" s="146"/>
      <c r="P2" s="146"/>
      <c r="Q2" s="146"/>
      <c r="R2" s="146"/>
    </row>
    <row r="3" spans="1:18">
      <c r="A3" s="147" t="s">
        <v>35</v>
      </c>
      <c r="B3" s="148" t="s">
        <v>107</v>
      </c>
      <c r="C3" s="149" t="s">
        <v>108</v>
      </c>
      <c r="D3" s="148" t="s">
        <v>94</v>
      </c>
      <c r="E3" s="149" t="s">
        <v>11</v>
      </c>
      <c r="F3" s="150">
        <v>2000</v>
      </c>
      <c r="G3" s="150">
        <v>225500</v>
      </c>
      <c r="H3" s="150">
        <v>64920000</v>
      </c>
      <c r="I3" s="150">
        <v>451000000</v>
      </c>
      <c r="J3" s="150">
        <v>2000</v>
      </c>
      <c r="K3" s="150">
        <v>2000</v>
      </c>
      <c r="L3" s="150">
        <v>224490</v>
      </c>
      <c r="M3" s="150">
        <v>64920000</v>
      </c>
      <c r="N3" s="150">
        <v>448980000</v>
      </c>
      <c r="O3" s="150">
        <v>-2020000</v>
      </c>
      <c r="P3" s="150">
        <v>384060000</v>
      </c>
      <c r="Q3" s="151">
        <v>591.58000000000004</v>
      </c>
      <c r="R3" s="151">
        <v>-0.44</v>
      </c>
    </row>
    <row r="4" spans="1:18">
      <c r="A4" s="128" t="s">
        <v>39</v>
      </c>
      <c r="B4" s="129" t="s">
        <v>107</v>
      </c>
      <c r="C4" s="130" t="s">
        <v>108</v>
      </c>
      <c r="D4" s="129" t="s">
        <v>37</v>
      </c>
      <c r="E4" s="130" t="s">
        <v>38</v>
      </c>
      <c r="F4" s="131">
        <v>140</v>
      </c>
      <c r="G4" s="131">
        <v>117800</v>
      </c>
      <c r="H4" s="131">
        <v>3181500</v>
      </c>
      <c r="I4" s="131">
        <v>16492000</v>
      </c>
      <c r="J4" s="131">
        <v>140</v>
      </c>
      <c r="K4" s="131">
        <v>140</v>
      </c>
      <c r="L4" s="131">
        <v>110900</v>
      </c>
      <c r="M4" s="131">
        <v>3181500</v>
      </c>
      <c r="N4" s="131">
        <v>15526000</v>
      </c>
      <c r="O4" s="131">
        <v>-966000</v>
      </c>
      <c r="P4" s="131">
        <v>12344500</v>
      </c>
      <c r="Q4" s="132">
        <v>388</v>
      </c>
      <c r="R4" s="132">
        <v>-5.85</v>
      </c>
    </row>
    <row r="5" spans="1:18">
      <c r="A5" s="128" t="s">
        <v>40</v>
      </c>
      <c r="B5" s="133" t="s">
        <v>107</v>
      </c>
      <c r="C5" s="134" t="s">
        <v>108</v>
      </c>
      <c r="D5" s="133" t="s">
        <v>86</v>
      </c>
      <c r="E5" s="134" t="s">
        <v>87</v>
      </c>
      <c r="F5" s="135">
        <v>43</v>
      </c>
      <c r="G5" s="135">
        <v>22900</v>
      </c>
      <c r="H5" s="135">
        <v>477730</v>
      </c>
      <c r="I5" s="135">
        <v>984700</v>
      </c>
      <c r="J5" s="135">
        <v>43</v>
      </c>
      <c r="K5" s="135">
        <v>43</v>
      </c>
      <c r="L5" s="135">
        <v>21050</v>
      </c>
      <c r="M5" s="135">
        <v>477730</v>
      </c>
      <c r="N5" s="135">
        <v>905150</v>
      </c>
      <c r="O5" s="135">
        <v>-79550</v>
      </c>
      <c r="P5" s="135">
        <v>427420</v>
      </c>
      <c r="Q5" s="136">
        <v>89.46</v>
      </c>
      <c r="R5" s="136">
        <v>-8.07</v>
      </c>
    </row>
    <row r="6" spans="1:18">
      <c r="A6" s="128" t="s">
        <v>41</v>
      </c>
      <c r="B6" s="129" t="s">
        <v>107</v>
      </c>
      <c r="C6" s="130" t="s">
        <v>108</v>
      </c>
      <c r="D6" s="129" t="s">
        <v>45</v>
      </c>
      <c r="E6" s="130" t="s">
        <v>6</v>
      </c>
      <c r="F6" s="131">
        <v>4000</v>
      </c>
      <c r="G6" s="131">
        <v>106900</v>
      </c>
      <c r="H6" s="131">
        <v>259200000</v>
      </c>
      <c r="I6" s="131">
        <v>427600000</v>
      </c>
      <c r="J6" s="131">
        <v>4000</v>
      </c>
      <c r="K6" s="131">
        <v>4000</v>
      </c>
      <c r="L6" s="131">
        <v>100000</v>
      </c>
      <c r="M6" s="131">
        <v>259200000</v>
      </c>
      <c r="N6" s="131">
        <v>400000000</v>
      </c>
      <c r="O6" s="131">
        <v>-27600000</v>
      </c>
      <c r="P6" s="131">
        <v>140800000</v>
      </c>
      <c r="Q6" s="132">
        <v>54.32</v>
      </c>
      <c r="R6" s="132">
        <v>-6.45</v>
      </c>
    </row>
    <row r="7" spans="1:18">
      <c r="A7" s="128" t="s">
        <v>44</v>
      </c>
      <c r="B7" s="133" t="s">
        <v>107</v>
      </c>
      <c r="C7" s="134" t="s">
        <v>108</v>
      </c>
      <c r="D7" s="133" t="s">
        <v>205</v>
      </c>
      <c r="E7" s="134" t="s">
        <v>206</v>
      </c>
      <c r="F7" s="135">
        <v>13500</v>
      </c>
      <c r="G7" s="135">
        <v>89300</v>
      </c>
      <c r="H7" s="135">
        <v>791531918</v>
      </c>
      <c r="I7" s="135">
        <v>1205550000</v>
      </c>
      <c r="J7" s="135">
        <v>13500</v>
      </c>
      <c r="K7" s="135">
        <v>13500</v>
      </c>
      <c r="L7" s="135">
        <v>83730</v>
      </c>
      <c r="M7" s="135">
        <v>791531918</v>
      </c>
      <c r="N7" s="135">
        <v>1130355000</v>
      </c>
      <c r="O7" s="135">
        <v>-75195000</v>
      </c>
      <c r="P7" s="135">
        <v>338823082</v>
      </c>
      <c r="Q7" s="136">
        <v>42.8</v>
      </c>
      <c r="R7" s="136">
        <v>-6.23</v>
      </c>
    </row>
    <row r="8" spans="1:18">
      <c r="A8" s="128"/>
      <c r="B8" s="129"/>
      <c r="C8" s="130"/>
      <c r="D8" s="129"/>
      <c r="E8" s="130"/>
      <c r="F8" s="131"/>
      <c r="G8" s="131"/>
      <c r="H8" s="131"/>
      <c r="I8" s="131"/>
      <c r="J8" s="131"/>
      <c r="K8" s="152"/>
      <c r="L8" s="131"/>
      <c r="M8" s="131"/>
      <c r="N8" s="131"/>
      <c r="O8" s="131"/>
      <c r="P8" s="131"/>
      <c r="Q8" s="132"/>
      <c r="R8" s="132"/>
    </row>
    <row r="9" spans="1:18">
      <c r="A9" s="128" t="s">
        <v>47</v>
      </c>
      <c r="B9" s="133" t="s">
        <v>107</v>
      </c>
      <c r="C9" s="134" t="s">
        <v>108</v>
      </c>
      <c r="D9" s="133" t="s">
        <v>88</v>
      </c>
      <c r="E9" s="134" t="s">
        <v>89</v>
      </c>
      <c r="F9" s="135">
        <v>52</v>
      </c>
      <c r="G9" s="135">
        <v>17620</v>
      </c>
      <c r="H9" s="135">
        <v>603980</v>
      </c>
      <c r="I9" s="135">
        <v>916240</v>
      </c>
      <c r="J9" s="135">
        <v>52</v>
      </c>
      <c r="K9" s="135">
        <v>52</v>
      </c>
      <c r="L9" s="135">
        <v>15920</v>
      </c>
      <c r="M9" s="135">
        <v>603980</v>
      </c>
      <c r="N9" s="135">
        <v>827840</v>
      </c>
      <c r="O9" s="135">
        <v>-88400</v>
      </c>
      <c r="P9" s="135">
        <v>223860</v>
      </c>
      <c r="Q9" s="136">
        <v>37.06</v>
      </c>
      <c r="R9" s="136">
        <v>-9.64</v>
      </c>
    </row>
    <row r="10" spans="1:18">
      <c r="A10" s="128" t="s">
        <v>48</v>
      </c>
      <c r="B10" s="129" t="s">
        <v>107</v>
      </c>
      <c r="C10" s="130" t="s">
        <v>108</v>
      </c>
      <c r="D10" s="129" t="s">
        <v>62</v>
      </c>
      <c r="E10" s="130" t="s">
        <v>8</v>
      </c>
      <c r="F10" s="131">
        <v>10100</v>
      </c>
      <c r="G10" s="131">
        <v>27500</v>
      </c>
      <c r="H10" s="131">
        <v>201062050</v>
      </c>
      <c r="I10" s="131">
        <v>277750000</v>
      </c>
      <c r="J10" s="131">
        <v>10100</v>
      </c>
      <c r="K10" s="131">
        <v>10100</v>
      </c>
      <c r="L10" s="131">
        <v>27200</v>
      </c>
      <c r="M10" s="131">
        <v>201062050</v>
      </c>
      <c r="N10" s="131">
        <v>274720000</v>
      </c>
      <c r="O10" s="131">
        <v>-3030000</v>
      </c>
      <c r="P10" s="131">
        <v>73657950</v>
      </c>
      <c r="Q10" s="132">
        <v>36.630000000000003</v>
      </c>
      <c r="R10" s="132">
        <v>-1.0900000000000001</v>
      </c>
    </row>
    <row r="11" spans="1:18">
      <c r="A11" s="128" t="s">
        <v>49</v>
      </c>
      <c r="B11" s="133" t="s">
        <v>107</v>
      </c>
      <c r="C11" s="134" t="s">
        <v>108</v>
      </c>
      <c r="D11" s="133" t="s">
        <v>196</v>
      </c>
      <c r="E11" s="134" t="s">
        <v>197</v>
      </c>
      <c r="F11" s="135">
        <v>5000</v>
      </c>
      <c r="G11" s="135">
        <v>42300</v>
      </c>
      <c r="H11" s="135">
        <v>132557527</v>
      </c>
      <c r="I11" s="135">
        <v>211500000</v>
      </c>
      <c r="J11" s="135">
        <v>6500</v>
      </c>
      <c r="K11" s="135">
        <v>6500</v>
      </c>
      <c r="L11" s="135">
        <v>40340</v>
      </c>
      <c r="M11" s="135">
        <v>192278582</v>
      </c>
      <c r="N11" s="135">
        <v>262210000</v>
      </c>
      <c r="O11" s="135">
        <v>-9011055</v>
      </c>
      <c r="P11" s="135">
        <v>69931418</v>
      </c>
      <c r="Q11" s="136">
        <v>36.36</v>
      </c>
      <c r="R11" s="136">
        <v>-4.63</v>
      </c>
    </row>
    <row r="12" spans="1:18">
      <c r="A12" s="128" t="s">
        <v>51</v>
      </c>
      <c r="B12" s="129" t="s">
        <v>107</v>
      </c>
      <c r="C12" s="130" t="s">
        <v>108</v>
      </c>
      <c r="D12" s="129" t="s">
        <v>265</v>
      </c>
      <c r="E12" s="130" t="s">
        <v>266</v>
      </c>
      <c r="F12" s="131">
        <v>1800</v>
      </c>
      <c r="G12" s="131">
        <v>165800</v>
      </c>
      <c r="H12" s="131">
        <v>189284546</v>
      </c>
      <c r="I12" s="131">
        <v>298440000</v>
      </c>
      <c r="J12" s="131">
        <v>1800</v>
      </c>
      <c r="K12" s="131">
        <v>1800</v>
      </c>
      <c r="L12" s="131">
        <v>140000</v>
      </c>
      <c r="M12" s="131">
        <v>189284546</v>
      </c>
      <c r="N12" s="131">
        <v>252000000</v>
      </c>
      <c r="O12" s="131">
        <v>-46440000</v>
      </c>
      <c r="P12" s="131">
        <v>62715454</v>
      </c>
      <c r="Q12" s="132">
        <v>33.130000000000003</v>
      </c>
      <c r="R12" s="132">
        <v>-15.56</v>
      </c>
    </row>
    <row r="13" spans="1:18">
      <c r="A13" s="128" t="s">
        <v>52</v>
      </c>
      <c r="B13" s="133" t="s">
        <v>107</v>
      </c>
      <c r="C13" s="134" t="s">
        <v>108</v>
      </c>
      <c r="D13" s="133" t="s">
        <v>95</v>
      </c>
      <c r="E13" s="134" t="s">
        <v>10</v>
      </c>
      <c r="F13" s="135">
        <v>8000</v>
      </c>
      <c r="G13" s="135">
        <v>24360</v>
      </c>
      <c r="H13" s="135">
        <v>154153183</v>
      </c>
      <c r="I13" s="135">
        <v>194880000</v>
      </c>
      <c r="J13" s="135">
        <v>8000</v>
      </c>
      <c r="K13" s="135">
        <v>8000</v>
      </c>
      <c r="L13" s="135">
        <v>24875</v>
      </c>
      <c r="M13" s="135">
        <v>154153183</v>
      </c>
      <c r="N13" s="135">
        <v>199000000</v>
      </c>
      <c r="O13" s="135">
        <v>4120000</v>
      </c>
      <c r="P13" s="135">
        <v>44846817</v>
      </c>
      <c r="Q13" s="136">
        <v>29.09</v>
      </c>
      <c r="R13" s="136">
        <v>2.11</v>
      </c>
    </row>
    <row r="14" spans="1:18">
      <c r="A14" s="128" t="s">
        <v>53</v>
      </c>
      <c r="B14" s="129" t="s">
        <v>107</v>
      </c>
      <c r="C14" s="130" t="s">
        <v>108</v>
      </c>
      <c r="D14" s="129" t="s">
        <v>70</v>
      </c>
      <c r="E14" s="130" t="s">
        <v>71</v>
      </c>
      <c r="F14" s="131">
        <v>300</v>
      </c>
      <c r="G14" s="131">
        <v>684000</v>
      </c>
      <c r="H14" s="131">
        <v>157022245</v>
      </c>
      <c r="I14" s="131">
        <v>205200000</v>
      </c>
      <c r="J14" s="131">
        <v>300</v>
      </c>
      <c r="K14" s="131">
        <v>300</v>
      </c>
      <c r="L14" s="131">
        <v>673000</v>
      </c>
      <c r="M14" s="131">
        <v>157022245</v>
      </c>
      <c r="N14" s="131">
        <v>201900000</v>
      </c>
      <c r="O14" s="131">
        <v>-3300000</v>
      </c>
      <c r="P14" s="131">
        <v>44877755</v>
      </c>
      <c r="Q14" s="132">
        <v>28.58</v>
      </c>
      <c r="R14" s="132">
        <v>-1.6</v>
      </c>
    </row>
    <row r="15" spans="1:18">
      <c r="A15" s="128" t="s">
        <v>54</v>
      </c>
      <c r="B15" s="133" t="s">
        <v>107</v>
      </c>
      <c r="C15" s="134" t="s">
        <v>108</v>
      </c>
      <c r="D15" s="133" t="s">
        <v>207</v>
      </c>
      <c r="E15" s="134" t="s">
        <v>208</v>
      </c>
      <c r="F15" s="135">
        <v>30000</v>
      </c>
      <c r="G15" s="135">
        <v>16160</v>
      </c>
      <c r="H15" s="135">
        <v>396360626</v>
      </c>
      <c r="I15" s="135">
        <v>484800000</v>
      </c>
      <c r="J15" s="135">
        <v>30000</v>
      </c>
      <c r="K15" s="135">
        <v>30000</v>
      </c>
      <c r="L15" s="135">
        <v>16275</v>
      </c>
      <c r="M15" s="135">
        <v>396360626</v>
      </c>
      <c r="N15" s="135">
        <v>488250000</v>
      </c>
      <c r="O15" s="135">
        <v>3450000</v>
      </c>
      <c r="P15" s="135">
        <v>91889374</v>
      </c>
      <c r="Q15" s="136">
        <v>23.18</v>
      </c>
      <c r="R15" s="136">
        <v>0.71</v>
      </c>
    </row>
    <row r="16" spans="1:18">
      <c r="A16" s="128" t="s">
        <v>55</v>
      </c>
      <c r="B16" s="129" t="s">
        <v>107</v>
      </c>
      <c r="C16" s="130" t="s">
        <v>108</v>
      </c>
      <c r="D16" s="129" t="s">
        <v>275</v>
      </c>
      <c r="E16" s="130" t="s">
        <v>276</v>
      </c>
      <c r="F16" s="131">
        <v>700</v>
      </c>
      <c r="G16" s="131">
        <v>271500</v>
      </c>
      <c r="H16" s="131">
        <v>165243837</v>
      </c>
      <c r="I16" s="131">
        <v>190050000</v>
      </c>
      <c r="J16" s="131">
        <v>1500</v>
      </c>
      <c r="K16" s="131">
        <v>1500</v>
      </c>
      <c r="L16" s="131">
        <v>280500</v>
      </c>
      <c r="M16" s="131">
        <v>371269837</v>
      </c>
      <c r="N16" s="131">
        <v>420750000</v>
      </c>
      <c r="O16" s="131">
        <v>24674000</v>
      </c>
      <c r="P16" s="131">
        <v>49480163</v>
      </c>
      <c r="Q16" s="132">
        <v>13.32</v>
      </c>
      <c r="R16" s="132">
        <v>3.31</v>
      </c>
    </row>
    <row r="17" spans="1:18">
      <c r="A17" s="128" t="s">
        <v>56</v>
      </c>
      <c r="B17" s="133" t="s">
        <v>107</v>
      </c>
      <c r="C17" s="134" t="s">
        <v>108</v>
      </c>
      <c r="D17" s="133" t="s">
        <v>90</v>
      </c>
      <c r="E17" s="134" t="s">
        <v>91</v>
      </c>
      <c r="F17" s="135">
        <v>54</v>
      </c>
      <c r="G17" s="135">
        <v>30650</v>
      </c>
      <c r="H17" s="135">
        <v>1418040</v>
      </c>
      <c r="I17" s="135">
        <v>1655100</v>
      </c>
      <c r="J17" s="135">
        <v>54</v>
      </c>
      <c r="K17" s="135">
        <v>54</v>
      </c>
      <c r="L17" s="135">
        <v>28700</v>
      </c>
      <c r="M17" s="135">
        <v>1418040</v>
      </c>
      <c r="N17" s="135">
        <v>1549800</v>
      </c>
      <c r="O17" s="135">
        <v>-105300</v>
      </c>
      <c r="P17" s="135">
        <v>131760</v>
      </c>
      <c r="Q17" s="136">
        <v>9.2899999999999991</v>
      </c>
      <c r="R17" s="136">
        <v>-6.36</v>
      </c>
    </row>
    <row r="18" spans="1:18">
      <c r="A18" s="128" t="s">
        <v>57</v>
      </c>
      <c r="B18" s="129" t="s">
        <v>107</v>
      </c>
      <c r="C18" s="130" t="s">
        <v>108</v>
      </c>
      <c r="D18" s="129" t="s">
        <v>42</v>
      </c>
      <c r="E18" s="130" t="s">
        <v>43</v>
      </c>
      <c r="F18" s="131">
        <v>12</v>
      </c>
      <c r="G18" s="131">
        <v>23000</v>
      </c>
      <c r="H18" s="131">
        <v>242400</v>
      </c>
      <c r="I18" s="131">
        <v>276000</v>
      </c>
      <c r="J18" s="131">
        <v>12</v>
      </c>
      <c r="K18" s="131">
        <v>12</v>
      </c>
      <c r="L18" s="131">
        <v>21950</v>
      </c>
      <c r="M18" s="131">
        <v>242400</v>
      </c>
      <c r="N18" s="131">
        <v>263400</v>
      </c>
      <c r="O18" s="131">
        <v>-12600</v>
      </c>
      <c r="P18" s="131">
        <v>21000</v>
      </c>
      <c r="Q18" s="132">
        <v>8.66</v>
      </c>
      <c r="R18" s="132">
        <v>-4.5599999999999996</v>
      </c>
    </row>
    <row r="19" spans="1:18">
      <c r="A19" s="128" t="s">
        <v>58</v>
      </c>
      <c r="B19" s="133" t="s">
        <v>107</v>
      </c>
      <c r="C19" s="134" t="s">
        <v>108</v>
      </c>
      <c r="D19" s="133" t="s">
        <v>96</v>
      </c>
      <c r="E19" s="134" t="s">
        <v>5</v>
      </c>
      <c r="F19" s="135">
        <v>8200</v>
      </c>
      <c r="G19" s="135">
        <v>25940</v>
      </c>
      <c r="H19" s="135">
        <v>180968041</v>
      </c>
      <c r="I19" s="135">
        <v>212708000</v>
      </c>
      <c r="J19" s="135">
        <v>10000</v>
      </c>
      <c r="K19" s="135">
        <v>10000</v>
      </c>
      <c r="L19" s="135">
        <v>24045</v>
      </c>
      <c r="M19" s="135">
        <v>224125880</v>
      </c>
      <c r="N19" s="135">
        <v>240450000</v>
      </c>
      <c r="O19" s="135">
        <v>-15415839</v>
      </c>
      <c r="P19" s="135">
        <v>16324120</v>
      </c>
      <c r="Q19" s="136">
        <v>7.28</v>
      </c>
      <c r="R19" s="136">
        <v>-7.3</v>
      </c>
    </row>
    <row r="20" spans="1:18">
      <c r="A20" s="128" t="s">
        <v>59</v>
      </c>
      <c r="B20" s="129" t="s">
        <v>107</v>
      </c>
      <c r="C20" s="130" t="s">
        <v>108</v>
      </c>
      <c r="D20" s="129" t="s">
        <v>109</v>
      </c>
      <c r="E20" s="130" t="s">
        <v>16</v>
      </c>
      <c r="F20" s="131">
        <v>55600</v>
      </c>
      <c r="G20" s="131">
        <v>3850</v>
      </c>
      <c r="H20" s="131">
        <v>199575645</v>
      </c>
      <c r="I20" s="131">
        <v>214060000</v>
      </c>
      <c r="J20" s="131">
        <v>55600</v>
      </c>
      <c r="K20" s="131">
        <v>55600</v>
      </c>
      <c r="L20" s="131">
        <v>3730</v>
      </c>
      <c r="M20" s="131">
        <v>199575645</v>
      </c>
      <c r="N20" s="131">
        <v>207388000</v>
      </c>
      <c r="O20" s="131">
        <v>-6672000</v>
      </c>
      <c r="P20" s="131">
        <v>7812355</v>
      </c>
      <c r="Q20" s="132">
        <v>3.91</v>
      </c>
      <c r="R20" s="132">
        <v>-3.11</v>
      </c>
    </row>
    <row r="21" spans="1:18">
      <c r="A21" s="128" t="s">
        <v>60</v>
      </c>
      <c r="B21" s="133" t="s">
        <v>107</v>
      </c>
      <c r="C21" s="134" t="s">
        <v>108</v>
      </c>
      <c r="D21" s="133" t="s">
        <v>294</v>
      </c>
      <c r="E21" s="134" t="s">
        <v>295</v>
      </c>
      <c r="F21" s="135">
        <v>0</v>
      </c>
      <c r="G21" s="135">
        <v>18975</v>
      </c>
      <c r="H21" s="135">
        <v>0</v>
      </c>
      <c r="I21" s="135">
        <v>0</v>
      </c>
      <c r="J21" s="135">
        <v>15000</v>
      </c>
      <c r="K21" s="135">
        <v>15000</v>
      </c>
      <c r="L21" s="135">
        <v>20790</v>
      </c>
      <c r="M21" s="135">
        <v>301532395</v>
      </c>
      <c r="N21" s="135">
        <v>311850000</v>
      </c>
      <c r="O21" s="135">
        <v>10317605</v>
      </c>
      <c r="P21" s="135">
        <v>10317605</v>
      </c>
      <c r="Q21" s="136">
        <v>3.42</v>
      </c>
      <c r="R21" s="136">
        <v>9.56</v>
      </c>
    </row>
    <row r="22" spans="1:18">
      <c r="A22" s="128" t="s">
        <v>61</v>
      </c>
      <c r="B22" s="129" t="s">
        <v>107</v>
      </c>
      <c r="C22" s="130" t="s">
        <v>108</v>
      </c>
      <c r="D22" s="129" t="s">
        <v>103</v>
      </c>
      <c r="E22" s="130" t="s">
        <v>12</v>
      </c>
      <c r="F22" s="131">
        <v>8279</v>
      </c>
      <c r="G22" s="131">
        <v>25530</v>
      </c>
      <c r="H22" s="131">
        <v>205886872</v>
      </c>
      <c r="I22" s="131">
        <v>211362870</v>
      </c>
      <c r="J22" s="131">
        <v>8279</v>
      </c>
      <c r="K22" s="131">
        <v>8279</v>
      </c>
      <c r="L22" s="131">
        <v>25650</v>
      </c>
      <c r="M22" s="131">
        <v>205886872</v>
      </c>
      <c r="N22" s="131">
        <v>212356350</v>
      </c>
      <c r="O22" s="131">
        <v>993480</v>
      </c>
      <c r="P22" s="131">
        <v>6469478</v>
      </c>
      <c r="Q22" s="132">
        <v>3.14</v>
      </c>
      <c r="R22" s="132">
        <v>0.47</v>
      </c>
    </row>
    <row r="23" spans="1:18">
      <c r="A23" s="128" t="s">
        <v>63</v>
      </c>
      <c r="B23" s="133" t="s">
        <v>107</v>
      </c>
      <c r="C23" s="134" t="s">
        <v>108</v>
      </c>
      <c r="D23" s="133" t="s">
        <v>92</v>
      </c>
      <c r="E23" s="134" t="s">
        <v>93</v>
      </c>
      <c r="F23" s="135">
        <v>57</v>
      </c>
      <c r="G23" s="135">
        <v>24700</v>
      </c>
      <c r="H23" s="135">
        <v>1243512</v>
      </c>
      <c r="I23" s="135">
        <v>1407900</v>
      </c>
      <c r="J23" s="135">
        <v>57</v>
      </c>
      <c r="K23" s="135">
        <v>57</v>
      </c>
      <c r="L23" s="135">
        <v>22450</v>
      </c>
      <c r="M23" s="135">
        <v>1243512</v>
      </c>
      <c r="N23" s="135">
        <v>1279650</v>
      </c>
      <c r="O23" s="135">
        <v>-128250</v>
      </c>
      <c r="P23" s="135">
        <v>36138</v>
      </c>
      <c r="Q23" s="136">
        <v>2.9</v>
      </c>
      <c r="R23" s="136">
        <v>-9.1</v>
      </c>
    </row>
    <row r="24" spans="1:18">
      <c r="A24" s="128" t="s">
        <v>64</v>
      </c>
      <c r="B24" s="129" t="s">
        <v>107</v>
      </c>
      <c r="C24" s="130" t="s">
        <v>108</v>
      </c>
      <c r="D24" s="129" t="s">
        <v>271</v>
      </c>
      <c r="E24" s="130" t="s">
        <v>272</v>
      </c>
      <c r="F24" s="131">
        <v>9000</v>
      </c>
      <c r="G24" s="131">
        <v>29800</v>
      </c>
      <c r="H24" s="131">
        <v>274993516</v>
      </c>
      <c r="I24" s="131">
        <v>268200000</v>
      </c>
      <c r="J24" s="131">
        <v>9000</v>
      </c>
      <c r="K24" s="131">
        <v>9000</v>
      </c>
      <c r="L24" s="131">
        <v>31350</v>
      </c>
      <c r="M24" s="131">
        <v>274993516</v>
      </c>
      <c r="N24" s="131">
        <v>282150000</v>
      </c>
      <c r="O24" s="131">
        <v>13950000</v>
      </c>
      <c r="P24" s="131">
        <v>7156484</v>
      </c>
      <c r="Q24" s="132">
        <v>2.6</v>
      </c>
      <c r="R24" s="132">
        <v>5.2</v>
      </c>
    </row>
    <row r="25" spans="1:18">
      <c r="A25" s="128" t="s">
        <v>65</v>
      </c>
      <c r="B25" s="133" t="s">
        <v>107</v>
      </c>
      <c r="C25" s="134" t="s">
        <v>108</v>
      </c>
      <c r="D25" s="133" t="s">
        <v>296</v>
      </c>
      <c r="E25" s="134" t="s">
        <v>297</v>
      </c>
      <c r="F25" s="135">
        <v>0</v>
      </c>
      <c r="G25" s="135">
        <v>2203000</v>
      </c>
      <c r="H25" s="135">
        <v>0</v>
      </c>
      <c r="I25" s="135">
        <v>0</v>
      </c>
      <c r="J25" s="135">
        <v>110</v>
      </c>
      <c r="K25" s="135">
        <v>110</v>
      </c>
      <c r="L25" s="135">
        <v>1918000</v>
      </c>
      <c r="M25" s="135">
        <v>206780000</v>
      </c>
      <c r="N25" s="135">
        <v>210980000</v>
      </c>
      <c r="O25" s="135">
        <v>4200000</v>
      </c>
      <c r="P25" s="135">
        <v>4200000</v>
      </c>
      <c r="Q25" s="136">
        <v>2.0299999999999998</v>
      </c>
      <c r="R25" s="136">
        <v>-12.93</v>
      </c>
    </row>
    <row r="26" spans="1:18">
      <c r="A26" s="128" t="s">
        <v>66</v>
      </c>
      <c r="B26" s="129" t="s">
        <v>107</v>
      </c>
      <c r="C26" s="130" t="s">
        <v>108</v>
      </c>
      <c r="D26" s="129" t="s">
        <v>283</v>
      </c>
      <c r="E26" s="130" t="s">
        <v>284</v>
      </c>
      <c r="F26" s="131">
        <v>20000</v>
      </c>
      <c r="G26" s="131">
        <v>10115</v>
      </c>
      <c r="H26" s="131">
        <v>202772020</v>
      </c>
      <c r="I26" s="131">
        <v>202300000</v>
      </c>
      <c r="J26" s="131">
        <v>20000</v>
      </c>
      <c r="K26" s="131">
        <v>20000</v>
      </c>
      <c r="L26" s="131">
        <v>10295</v>
      </c>
      <c r="M26" s="131">
        <v>202772020</v>
      </c>
      <c r="N26" s="131">
        <v>205900000</v>
      </c>
      <c r="O26" s="131">
        <v>3600000</v>
      </c>
      <c r="P26" s="131">
        <v>3127980</v>
      </c>
      <c r="Q26" s="132">
        <v>1.54</v>
      </c>
      <c r="R26" s="132">
        <v>1.77</v>
      </c>
    </row>
    <row r="27" spans="1:18">
      <c r="A27" s="128" t="s">
        <v>68</v>
      </c>
      <c r="B27" s="133" t="s">
        <v>107</v>
      </c>
      <c r="C27" s="134" t="s">
        <v>108</v>
      </c>
      <c r="D27" s="133" t="s">
        <v>298</v>
      </c>
      <c r="E27" s="134" t="s">
        <v>299</v>
      </c>
      <c r="F27" s="135">
        <v>0</v>
      </c>
      <c r="G27" s="135">
        <v>31215</v>
      </c>
      <c r="H27" s="135">
        <v>0</v>
      </c>
      <c r="I27" s="135">
        <v>0</v>
      </c>
      <c r="J27" s="135">
        <v>200</v>
      </c>
      <c r="K27" s="135">
        <v>10000</v>
      </c>
      <c r="L27" s="135">
        <v>30830</v>
      </c>
      <c r="M27" s="135">
        <v>6086000</v>
      </c>
      <c r="N27" s="135">
        <v>6166000</v>
      </c>
      <c r="O27" s="135">
        <v>80000</v>
      </c>
      <c r="P27" s="135">
        <v>80000</v>
      </c>
      <c r="Q27" s="136">
        <v>1.31</v>
      </c>
      <c r="R27" s="136">
        <v>-1.23</v>
      </c>
    </row>
    <row r="28" spans="1:18">
      <c r="A28" s="128" t="s">
        <v>69</v>
      </c>
      <c r="B28" s="129" t="s">
        <v>107</v>
      </c>
      <c r="C28" s="130" t="s">
        <v>108</v>
      </c>
      <c r="D28" s="129" t="s">
        <v>190</v>
      </c>
      <c r="E28" s="130" t="s">
        <v>186</v>
      </c>
      <c r="F28" s="131">
        <v>109600</v>
      </c>
      <c r="G28" s="131">
        <v>2045</v>
      </c>
      <c r="H28" s="131">
        <v>220781575</v>
      </c>
      <c r="I28" s="131">
        <v>224132000</v>
      </c>
      <c r="J28" s="131">
        <v>109600</v>
      </c>
      <c r="K28" s="131">
        <v>109600</v>
      </c>
      <c r="L28" s="131">
        <v>2025</v>
      </c>
      <c r="M28" s="131">
        <v>220781575</v>
      </c>
      <c r="N28" s="131">
        <v>221940000</v>
      </c>
      <c r="O28" s="131">
        <v>-2192000</v>
      </c>
      <c r="P28" s="131">
        <v>1158425</v>
      </c>
      <c r="Q28" s="132">
        <v>0.52</v>
      </c>
      <c r="R28" s="132">
        <v>-0.97</v>
      </c>
    </row>
    <row r="29" spans="1:18">
      <c r="A29" s="128" t="s">
        <v>72</v>
      </c>
      <c r="B29" s="133" t="s">
        <v>107</v>
      </c>
      <c r="C29" s="134" t="s">
        <v>108</v>
      </c>
      <c r="D29" s="133" t="s">
        <v>300</v>
      </c>
      <c r="E29" s="134" t="s">
        <v>301</v>
      </c>
      <c r="F29" s="135">
        <v>85</v>
      </c>
      <c r="G29" s="135">
        <v>0</v>
      </c>
      <c r="H29" s="135">
        <v>0</v>
      </c>
      <c r="I29" s="135">
        <v>0</v>
      </c>
      <c r="J29" s="135">
        <v>85</v>
      </c>
      <c r="K29" s="135">
        <v>85</v>
      </c>
      <c r="L29" s="135">
        <v>18540</v>
      </c>
      <c r="M29" s="135">
        <v>0</v>
      </c>
      <c r="N29" s="135">
        <v>1575900</v>
      </c>
      <c r="O29" s="135">
        <v>1575900</v>
      </c>
      <c r="P29" s="135">
        <v>1575900</v>
      </c>
      <c r="Q29" s="136">
        <v>0</v>
      </c>
      <c r="R29" s="136">
        <v>0</v>
      </c>
    </row>
    <row r="30" spans="1:18">
      <c r="A30" s="128" t="s">
        <v>74</v>
      </c>
      <c r="B30" s="129" t="s">
        <v>107</v>
      </c>
      <c r="C30" s="130" t="s">
        <v>108</v>
      </c>
      <c r="D30" s="129" t="s">
        <v>73</v>
      </c>
      <c r="E30" s="130" t="s">
        <v>0</v>
      </c>
      <c r="F30" s="131">
        <v>5500</v>
      </c>
      <c r="G30" s="131">
        <v>42850</v>
      </c>
      <c r="H30" s="131">
        <v>215277588</v>
      </c>
      <c r="I30" s="131">
        <v>235675000</v>
      </c>
      <c r="J30" s="131">
        <v>5500</v>
      </c>
      <c r="K30" s="131">
        <v>5500</v>
      </c>
      <c r="L30" s="131">
        <v>38850</v>
      </c>
      <c r="M30" s="131">
        <v>215277588</v>
      </c>
      <c r="N30" s="131">
        <v>213675000</v>
      </c>
      <c r="O30" s="131">
        <v>-22000000</v>
      </c>
      <c r="P30" s="131">
        <v>-1602588</v>
      </c>
      <c r="Q30" s="132">
        <v>-0.74</v>
      </c>
      <c r="R30" s="132">
        <v>-9.33</v>
      </c>
    </row>
    <row r="31" spans="1:18">
      <c r="A31" s="128" t="s">
        <v>75</v>
      </c>
      <c r="B31" s="133" t="s">
        <v>107</v>
      </c>
      <c r="C31" s="134" t="s">
        <v>108</v>
      </c>
      <c r="D31" s="133" t="s">
        <v>67</v>
      </c>
      <c r="E31" s="134" t="s">
        <v>13</v>
      </c>
      <c r="F31" s="135">
        <v>2000</v>
      </c>
      <c r="G31" s="135">
        <v>79300</v>
      </c>
      <c r="H31" s="135">
        <v>156200000</v>
      </c>
      <c r="I31" s="135">
        <v>158600000</v>
      </c>
      <c r="J31" s="135">
        <v>2000</v>
      </c>
      <c r="K31" s="135">
        <v>2000</v>
      </c>
      <c r="L31" s="135">
        <v>76500</v>
      </c>
      <c r="M31" s="135">
        <v>156200000</v>
      </c>
      <c r="N31" s="135">
        <v>153000000</v>
      </c>
      <c r="O31" s="135">
        <v>-5600000</v>
      </c>
      <c r="P31" s="135">
        <v>-3200000</v>
      </c>
      <c r="Q31" s="136">
        <v>-2.04</v>
      </c>
      <c r="R31" s="136">
        <v>-3.53</v>
      </c>
    </row>
    <row r="32" spans="1:18">
      <c r="A32" s="128" t="s">
        <v>76</v>
      </c>
      <c r="B32" s="129" t="s">
        <v>107</v>
      </c>
      <c r="C32" s="130" t="s">
        <v>108</v>
      </c>
      <c r="D32" s="129" t="s">
        <v>209</v>
      </c>
      <c r="E32" s="130" t="s">
        <v>210</v>
      </c>
      <c r="F32" s="131">
        <v>3800</v>
      </c>
      <c r="G32" s="131">
        <v>46595</v>
      </c>
      <c r="H32" s="131">
        <v>173508466</v>
      </c>
      <c r="I32" s="131">
        <v>177061000</v>
      </c>
      <c r="J32" s="131">
        <v>5000</v>
      </c>
      <c r="K32" s="131">
        <v>5000</v>
      </c>
      <c r="L32" s="131">
        <v>43300</v>
      </c>
      <c r="M32" s="131">
        <v>225466141</v>
      </c>
      <c r="N32" s="131">
        <v>216500000</v>
      </c>
      <c r="O32" s="131">
        <v>-12518675</v>
      </c>
      <c r="P32" s="131">
        <v>-8966141</v>
      </c>
      <c r="Q32" s="132">
        <v>-3.97</v>
      </c>
      <c r="R32" s="132">
        <v>-7.07</v>
      </c>
    </row>
    <row r="33" spans="1:18">
      <c r="A33" s="128" t="s">
        <v>77</v>
      </c>
      <c r="B33" s="133" t="s">
        <v>107</v>
      </c>
      <c r="C33" s="134" t="s">
        <v>108</v>
      </c>
      <c r="D33" s="133" t="s">
        <v>80</v>
      </c>
      <c r="E33" s="134" t="s">
        <v>2</v>
      </c>
      <c r="F33" s="135">
        <v>15900</v>
      </c>
      <c r="G33" s="135">
        <v>14500</v>
      </c>
      <c r="H33" s="135">
        <v>250588088</v>
      </c>
      <c r="I33" s="135">
        <v>230550000</v>
      </c>
      <c r="J33" s="135">
        <v>15994</v>
      </c>
      <c r="K33" s="135">
        <v>17000</v>
      </c>
      <c r="L33" s="135">
        <v>14380</v>
      </c>
      <c r="M33" s="135">
        <v>251925528</v>
      </c>
      <c r="N33" s="135">
        <v>229993720</v>
      </c>
      <c r="O33" s="135">
        <v>-1893720</v>
      </c>
      <c r="P33" s="135">
        <v>-21931808</v>
      </c>
      <c r="Q33" s="136">
        <v>-8.6999999999999993</v>
      </c>
      <c r="R33" s="136">
        <v>-0.82</v>
      </c>
    </row>
    <row r="34" spans="1:18">
      <c r="A34" s="128" t="s">
        <v>78</v>
      </c>
      <c r="B34" s="129" t="s">
        <v>107</v>
      </c>
      <c r="C34" s="130" t="s">
        <v>108</v>
      </c>
      <c r="D34" s="129" t="s">
        <v>273</v>
      </c>
      <c r="E34" s="130" t="s">
        <v>274</v>
      </c>
      <c r="F34" s="131">
        <v>1000</v>
      </c>
      <c r="G34" s="131">
        <v>181400</v>
      </c>
      <c r="H34" s="131">
        <v>188660181</v>
      </c>
      <c r="I34" s="131">
        <v>181400000</v>
      </c>
      <c r="J34" s="131">
        <v>1000</v>
      </c>
      <c r="K34" s="131">
        <v>1000</v>
      </c>
      <c r="L34" s="131">
        <v>170100</v>
      </c>
      <c r="M34" s="131">
        <v>188660181</v>
      </c>
      <c r="N34" s="131">
        <v>170100000</v>
      </c>
      <c r="O34" s="131">
        <v>-11300000</v>
      </c>
      <c r="P34" s="131">
        <v>-18560181</v>
      </c>
      <c r="Q34" s="132">
        <v>-9.83</v>
      </c>
      <c r="R34" s="132">
        <v>-6.22</v>
      </c>
    </row>
    <row r="35" spans="1:18">
      <c r="A35" s="128"/>
      <c r="B35" s="133"/>
      <c r="C35" s="134"/>
      <c r="D35" s="133"/>
      <c r="E35" s="134"/>
      <c r="F35" s="135"/>
      <c r="G35" s="135"/>
      <c r="H35" s="135"/>
      <c r="I35" s="135"/>
      <c r="J35" s="135"/>
      <c r="K35" s="152"/>
      <c r="L35" s="135"/>
      <c r="M35" s="135"/>
      <c r="N35" s="135"/>
      <c r="O35" s="135"/>
      <c r="P35" s="135"/>
      <c r="Q35" s="136"/>
      <c r="R35" s="136"/>
    </row>
    <row r="36" spans="1:18">
      <c r="A36" s="128"/>
      <c r="B36" s="129"/>
      <c r="C36" s="130"/>
      <c r="D36" s="129"/>
      <c r="E36" s="130"/>
      <c r="F36" s="131"/>
      <c r="G36" s="131"/>
      <c r="H36" s="131"/>
      <c r="I36" s="131"/>
      <c r="J36" s="131"/>
      <c r="K36" s="152"/>
      <c r="L36" s="131"/>
      <c r="M36" s="131"/>
      <c r="N36" s="131"/>
      <c r="O36" s="131"/>
      <c r="P36" s="131"/>
      <c r="Q36" s="132"/>
      <c r="R36" s="132"/>
    </row>
    <row r="37" spans="1:18">
      <c r="A37" s="128" t="s">
        <v>83</v>
      </c>
      <c r="B37" s="133" t="s">
        <v>107</v>
      </c>
      <c r="C37" s="134" t="s">
        <v>108</v>
      </c>
      <c r="D37" s="133" t="s">
        <v>281</v>
      </c>
      <c r="E37" s="134" t="s">
        <v>282</v>
      </c>
      <c r="F37" s="135">
        <v>1000</v>
      </c>
      <c r="G37" s="135">
        <v>177800</v>
      </c>
      <c r="H37" s="135">
        <v>176848565</v>
      </c>
      <c r="I37" s="135">
        <v>177800000</v>
      </c>
      <c r="J37" s="135">
        <v>1000</v>
      </c>
      <c r="K37" s="135">
        <v>1000</v>
      </c>
      <c r="L37" s="135">
        <v>157500</v>
      </c>
      <c r="M37" s="135">
        <v>176848565</v>
      </c>
      <c r="N37" s="135">
        <v>157500000</v>
      </c>
      <c r="O37" s="135">
        <v>-20300000</v>
      </c>
      <c r="P37" s="135">
        <v>-19348565</v>
      </c>
      <c r="Q37" s="136">
        <v>-10.94</v>
      </c>
      <c r="R37" s="136">
        <v>-11.41</v>
      </c>
    </row>
    <row r="38" spans="1:18">
      <c r="A38" s="128"/>
      <c r="B38" s="129"/>
      <c r="C38" s="130"/>
      <c r="D38" s="129"/>
      <c r="E38" s="130"/>
      <c r="F38" s="131"/>
      <c r="G38" s="131"/>
      <c r="H38" s="131"/>
      <c r="I38" s="131"/>
      <c r="J38" s="131"/>
      <c r="K38" s="152"/>
      <c r="L38" s="131"/>
      <c r="M38" s="131"/>
      <c r="N38" s="131"/>
      <c r="O38" s="131"/>
      <c r="P38" s="131"/>
      <c r="Q38" s="132"/>
      <c r="R38" s="132"/>
    </row>
    <row r="39" spans="1:18">
      <c r="A39" s="128" t="s">
        <v>97</v>
      </c>
      <c r="B39" s="133" t="s">
        <v>107</v>
      </c>
      <c r="C39" s="134" t="s">
        <v>108</v>
      </c>
      <c r="D39" s="133" t="s">
        <v>110</v>
      </c>
      <c r="E39" s="134" t="s">
        <v>14</v>
      </c>
      <c r="F39" s="135">
        <v>257692</v>
      </c>
      <c r="G39" s="135">
        <v>3300</v>
      </c>
      <c r="H39" s="135">
        <v>997006858</v>
      </c>
      <c r="I39" s="135">
        <v>850383600</v>
      </c>
      <c r="J39" s="135">
        <v>260346</v>
      </c>
      <c r="K39" s="135">
        <v>265000</v>
      </c>
      <c r="L39" s="135">
        <v>3390</v>
      </c>
      <c r="M39" s="135">
        <v>1005947658</v>
      </c>
      <c r="N39" s="135">
        <v>882572940</v>
      </c>
      <c r="O39" s="135">
        <v>23248540</v>
      </c>
      <c r="P39" s="135">
        <v>-123374718</v>
      </c>
      <c r="Q39" s="136">
        <v>-12.26</v>
      </c>
      <c r="R39" s="136">
        <v>2.72</v>
      </c>
    </row>
    <row r="40" spans="1:18">
      <c r="A40" s="128"/>
      <c r="B40" s="129"/>
      <c r="C40" s="130"/>
      <c r="D40" s="129"/>
      <c r="E40" s="130"/>
      <c r="F40" s="131"/>
      <c r="G40" s="131"/>
      <c r="H40" s="131"/>
      <c r="I40" s="131"/>
      <c r="J40" s="131"/>
      <c r="K40" s="152"/>
      <c r="L40" s="131"/>
      <c r="M40" s="131"/>
      <c r="N40" s="131"/>
      <c r="O40" s="131"/>
      <c r="P40" s="131"/>
      <c r="Q40" s="132"/>
      <c r="R40" s="132"/>
    </row>
    <row r="41" spans="1:18">
      <c r="A41" s="128" t="s">
        <v>99</v>
      </c>
      <c r="B41" s="133" t="s">
        <v>107</v>
      </c>
      <c r="C41" s="134" t="s">
        <v>108</v>
      </c>
      <c r="D41" s="133" t="s">
        <v>267</v>
      </c>
      <c r="E41" s="134" t="s">
        <v>268</v>
      </c>
      <c r="F41" s="135">
        <v>10000</v>
      </c>
      <c r="G41" s="135">
        <v>30100</v>
      </c>
      <c r="H41" s="135">
        <v>347555498</v>
      </c>
      <c r="I41" s="135">
        <v>301000000</v>
      </c>
      <c r="J41" s="135">
        <v>10000</v>
      </c>
      <c r="K41" s="135">
        <v>10000</v>
      </c>
      <c r="L41" s="135">
        <v>30100</v>
      </c>
      <c r="M41" s="135">
        <v>347555498</v>
      </c>
      <c r="N41" s="135">
        <v>301000000</v>
      </c>
      <c r="O41" s="135">
        <v>0</v>
      </c>
      <c r="P41" s="135">
        <v>-46555498</v>
      </c>
      <c r="Q41" s="136">
        <v>-13.39</v>
      </c>
      <c r="R41" s="136">
        <v>0</v>
      </c>
    </row>
    <row r="42" spans="1:18">
      <c r="A42" s="128" t="s">
        <v>100</v>
      </c>
      <c r="B42" s="129" t="s">
        <v>107</v>
      </c>
      <c r="C42" s="130" t="s">
        <v>108</v>
      </c>
      <c r="D42" s="129" t="s">
        <v>269</v>
      </c>
      <c r="E42" s="130" t="s">
        <v>270</v>
      </c>
      <c r="F42" s="131">
        <v>5000</v>
      </c>
      <c r="G42" s="131">
        <v>58100</v>
      </c>
      <c r="H42" s="131">
        <v>328002292</v>
      </c>
      <c r="I42" s="131">
        <v>290500000</v>
      </c>
      <c r="J42" s="131">
        <v>5000</v>
      </c>
      <c r="K42" s="131">
        <v>5000</v>
      </c>
      <c r="L42" s="131">
        <v>56700</v>
      </c>
      <c r="M42" s="131">
        <v>328002292</v>
      </c>
      <c r="N42" s="131">
        <v>283500000</v>
      </c>
      <c r="O42" s="131">
        <v>-7000000</v>
      </c>
      <c r="P42" s="131">
        <v>-44502292</v>
      </c>
      <c r="Q42" s="132">
        <v>-13.56</v>
      </c>
      <c r="R42" s="132">
        <v>-2.4</v>
      </c>
    </row>
    <row r="43" spans="1:18">
      <c r="A43" s="128" t="s">
        <v>101</v>
      </c>
      <c r="B43" s="133" t="s">
        <v>107</v>
      </c>
      <c r="C43" s="134" t="s">
        <v>108</v>
      </c>
      <c r="D43" s="133" t="s">
        <v>188</v>
      </c>
      <c r="E43" s="134" t="s">
        <v>189</v>
      </c>
      <c r="F43" s="135">
        <v>23000</v>
      </c>
      <c r="G43" s="135">
        <v>8315</v>
      </c>
      <c r="H43" s="135">
        <v>223781941</v>
      </c>
      <c r="I43" s="135">
        <v>191245000</v>
      </c>
      <c r="J43" s="135">
        <v>23000</v>
      </c>
      <c r="K43" s="135">
        <v>23000</v>
      </c>
      <c r="L43" s="135">
        <v>8065</v>
      </c>
      <c r="M43" s="135">
        <v>223781941</v>
      </c>
      <c r="N43" s="135">
        <v>185495000</v>
      </c>
      <c r="O43" s="135">
        <v>-5750000</v>
      </c>
      <c r="P43" s="135">
        <v>-38286941</v>
      </c>
      <c r="Q43" s="136">
        <v>-17.100000000000001</v>
      </c>
      <c r="R43" s="136">
        <v>-3</v>
      </c>
    </row>
    <row r="44" spans="1:18">
      <c r="A44" s="128" t="s">
        <v>102</v>
      </c>
      <c r="B44" s="129" t="s">
        <v>107</v>
      </c>
      <c r="C44" s="130" t="s">
        <v>108</v>
      </c>
      <c r="D44" s="129" t="s">
        <v>106</v>
      </c>
      <c r="E44" s="130" t="s">
        <v>7</v>
      </c>
      <c r="F44" s="131">
        <v>35000</v>
      </c>
      <c r="G44" s="131">
        <v>14060</v>
      </c>
      <c r="H44" s="131">
        <v>577337827</v>
      </c>
      <c r="I44" s="131">
        <v>492100000</v>
      </c>
      <c r="J44" s="131">
        <v>38000</v>
      </c>
      <c r="K44" s="131">
        <v>38000</v>
      </c>
      <c r="L44" s="131">
        <v>13330</v>
      </c>
      <c r="M44" s="131">
        <v>617815627</v>
      </c>
      <c r="N44" s="131">
        <v>506540000</v>
      </c>
      <c r="O44" s="131">
        <v>-26037800</v>
      </c>
      <c r="P44" s="131">
        <v>-111275627</v>
      </c>
      <c r="Q44" s="132">
        <v>-18.010000000000002</v>
      </c>
      <c r="R44" s="132">
        <v>-5.19</v>
      </c>
    </row>
    <row r="45" spans="1:18">
      <c r="A45" s="128"/>
      <c r="B45" s="133"/>
      <c r="C45" s="134"/>
      <c r="D45" s="133"/>
      <c r="E45" s="134"/>
      <c r="F45" s="135"/>
      <c r="G45" s="135"/>
      <c r="H45" s="135"/>
      <c r="I45" s="135"/>
      <c r="J45" s="135"/>
      <c r="K45" s="152"/>
      <c r="L45" s="135"/>
      <c r="M45" s="135"/>
      <c r="N45" s="135"/>
      <c r="O45" s="135"/>
      <c r="P45" s="135"/>
      <c r="Q45" s="136"/>
      <c r="R45" s="136"/>
    </row>
    <row r="46" spans="1:18">
      <c r="A46" s="128"/>
      <c r="B46" s="129"/>
      <c r="C46" s="130"/>
      <c r="D46" s="129"/>
      <c r="E46" s="130"/>
      <c r="F46" s="131"/>
      <c r="G46" s="131"/>
      <c r="H46" s="131"/>
      <c r="I46" s="131"/>
      <c r="J46" s="131"/>
      <c r="K46" s="152"/>
      <c r="L46" s="131"/>
      <c r="M46" s="131"/>
      <c r="N46" s="131"/>
      <c r="O46" s="131"/>
      <c r="P46" s="131"/>
      <c r="Q46" s="132"/>
      <c r="R46" s="132"/>
    </row>
    <row r="47" spans="1:18">
      <c r="A47" s="128"/>
      <c r="B47" s="133"/>
      <c r="C47" s="134"/>
      <c r="D47" s="133"/>
      <c r="E47" s="134"/>
      <c r="F47" s="135"/>
      <c r="G47" s="135"/>
      <c r="H47" s="135"/>
      <c r="I47" s="135"/>
      <c r="J47" s="135"/>
      <c r="K47" s="152"/>
      <c r="L47" s="135"/>
      <c r="M47" s="135"/>
      <c r="N47" s="135"/>
      <c r="O47" s="135"/>
      <c r="P47" s="135"/>
      <c r="Q47" s="136"/>
      <c r="R47" s="136"/>
    </row>
    <row r="48" spans="1:18">
      <c r="A48" s="128"/>
      <c r="B48" s="129"/>
      <c r="C48" s="130"/>
      <c r="D48" s="129"/>
      <c r="E48" s="130"/>
      <c r="F48" s="131"/>
      <c r="G48" s="131"/>
      <c r="H48" s="131"/>
      <c r="I48" s="131"/>
      <c r="J48" s="131"/>
      <c r="K48" s="152"/>
      <c r="L48" s="131"/>
      <c r="M48" s="131"/>
      <c r="N48" s="131"/>
      <c r="O48" s="131"/>
      <c r="P48" s="131"/>
      <c r="Q48" s="132"/>
      <c r="R48" s="132"/>
    </row>
    <row r="49" spans="1:18">
      <c r="A49" s="128"/>
      <c r="B49" s="133"/>
      <c r="C49" s="134"/>
      <c r="D49" s="133"/>
      <c r="E49" s="134"/>
      <c r="F49" s="135"/>
      <c r="G49" s="135"/>
      <c r="H49" s="135"/>
      <c r="I49" s="135"/>
      <c r="J49" s="135"/>
      <c r="K49" s="152"/>
      <c r="L49" s="135"/>
      <c r="M49" s="135"/>
      <c r="N49" s="135"/>
      <c r="O49" s="135"/>
      <c r="P49" s="135"/>
      <c r="Q49" s="136"/>
      <c r="R49" s="136"/>
    </row>
    <row r="50" spans="1:18">
      <c r="A50" s="128" t="s">
        <v>277</v>
      </c>
      <c r="B50" s="129" t="s">
        <v>107</v>
      </c>
      <c r="C50" s="130" t="s">
        <v>108</v>
      </c>
      <c r="D50" s="129" t="s">
        <v>82</v>
      </c>
      <c r="E50" s="130" t="s">
        <v>1</v>
      </c>
      <c r="F50" s="131">
        <v>5000</v>
      </c>
      <c r="G50" s="131">
        <v>34600</v>
      </c>
      <c r="H50" s="131">
        <v>267504499</v>
      </c>
      <c r="I50" s="131">
        <v>173000000</v>
      </c>
      <c r="J50" s="131">
        <v>5000</v>
      </c>
      <c r="K50" s="131">
        <v>5000</v>
      </c>
      <c r="L50" s="131">
        <v>33900</v>
      </c>
      <c r="M50" s="131">
        <v>267504499</v>
      </c>
      <c r="N50" s="131">
        <v>169500000</v>
      </c>
      <c r="O50" s="131">
        <v>-3500000</v>
      </c>
      <c r="P50" s="131">
        <v>-98004499</v>
      </c>
      <c r="Q50" s="132">
        <v>-36.630000000000003</v>
      </c>
      <c r="R50" s="132">
        <v>-2.02</v>
      </c>
    </row>
    <row r="51" spans="1:18">
      <c r="A51" s="137" t="s">
        <v>160</v>
      </c>
      <c r="B51" s="137" t="s">
        <v>160</v>
      </c>
      <c r="C51" s="137" t="s">
        <v>160</v>
      </c>
      <c r="D51" s="137" t="s">
        <v>160</v>
      </c>
      <c r="E51" s="137" t="s">
        <v>160</v>
      </c>
      <c r="F51" s="137" t="s">
        <v>160</v>
      </c>
      <c r="G51" s="137" t="s">
        <v>160</v>
      </c>
      <c r="H51" s="138">
        <v>9718080496</v>
      </c>
      <c r="I51" s="138">
        <v>10608589410</v>
      </c>
      <c r="J51" s="138">
        <v>677772</v>
      </c>
      <c r="K51" s="138">
        <v>693232</v>
      </c>
      <c r="L51" s="137" t="s">
        <v>160</v>
      </c>
      <c r="M51" s="138">
        <v>8631769570</v>
      </c>
      <c r="N51" s="138">
        <v>9468649750</v>
      </c>
      <c r="O51" s="138">
        <v>-325773874</v>
      </c>
      <c r="P51" s="138">
        <v>564735040</v>
      </c>
      <c r="Q51" s="137" t="s">
        <v>160</v>
      </c>
      <c r="R51" s="137" t="s">
        <v>160</v>
      </c>
    </row>
    <row r="52" spans="1:18">
      <c r="A52" s="137"/>
      <c r="B52" s="137"/>
      <c r="C52" s="137"/>
      <c r="D52" s="137"/>
      <c r="E52" s="137"/>
      <c r="F52" s="137"/>
      <c r="G52" s="137"/>
      <c r="H52" s="138"/>
      <c r="I52" s="138"/>
      <c r="J52" s="138"/>
      <c r="K52" s="138"/>
      <c r="L52" s="137"/>
      <c r="M52" s="138"/>
      <c r="N52" s="138"/>
      <c r="O52" s="138"/>
      <c r="P52" s="138"/>
      <c r="Q52" s="137"/>
      <c r="R52" s="137"/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D2CC-DCA9-45DE-B9FA-D9AC6CB1D2C6}">
  <dimension ref="A1:R44"/>
  <sheetViews>
    <sheetView workbookViewId="0">
      <selection activeCell="A5" sqref="A5:XFD5"/>
    </sheetView>
  </sheetViews>
  <sheetFormatPr defaultRowHeight="13.5"/>
  <cols>
    <col min="1" max="1" width="4.140625" bestFit="1" customWidth="1"/>
    <col min="2" max="2" width="6.85546875" bestFit="1" customWidth="1"/>
    <col min="3" max="3" width="33.28515625" bestFit="1" customWidth="1"/>
    <col min="4" max="4" width="13" bestFit="1" customWidth="1"/>
    <col min="5" max="5" width="32.85546875" bestFit="1" customWidth="1"/>
    <col min="6" max="6" width="8.5703125" bestFit="1" customWidth="1"/>
    <col min="7" max="7" width="9.42578125" bestFit="1" customWidth="1"/>
    <col min="8" max="8" width="13.85546875" bestFit="1" customWidth="1"/>
    <col min="9" max="9" width="19" bestFit="1" customWidth="1"/>
    <col min="10" max="11" width="8.5703125" bestFit="1" customWidth="1"/>
    <col min="12" max="12" width="9.42578125" bestFit="1" customWidth="1"/>
    <col min="13" max="13" width="13.85546875" bestFit="1" customWidth="1"/>
    <col min="14" max="14" width="19" bestFit="1" customWidth="1"/>
    <col min="15" max="15" width="15.7109375" bestFit="1" customWidth="1"/>
    <col min="16" max="16" width="20.85546875" bestFit="1" customWidth="1"/>
    <col min="17" max="17" width="11" bestFit="1" customWidth="1"/>
    <col min="18" max="18" width="12.28515625" bestFit="1" customWidth="1"/>
  </cols>
  <sheetData>
    <row r="1" spans="1:18" ht="13.5" customHeight="1">
      <c r="A1" s="143" t="s">
        <v>21</v>
      </c>
      <c r="B1" s="145" t="s">
        <v>22</v>
      </c>
      <c r="C1" s="145" t="s">
        <v>23</v>
      </c>
      <c r="D1" s="145" t="s">
        <v>24</v>
      </c>
      <c r="E1" s="145" t="s">
        <v>25</v>
      </c>
      <c r="F1" s="140" t="s">
        <v>26</v>
      </c>
      <c r="G1" s="141"/>
      <c r="H1" s="141"/>
      <c r="I1" s="142"/>
      <c r="J1" s="140" t="s">
        <v>27</v>
      </c>
      <c r="K1" s="141"/>
      <c r="L1" s="141"/>
      <c r="M1" s="141"/>
      <c r="N1" s="142"/>
      <c r="O1" s="145" t="s">
        <v>264</v>
      </c>
      <c r="P1" s="145" t="s">
        <v>28</v>
      </c>
      <c r="Q1" s="145" t="s">
        <v>169</v>
      </c>
      <c r="R1" s="145" t="s">
        <v>29</v>
      </c>
    </row>
    <row r="2" spans="1:18" ht="33.75">
      <c r="A2" s="144"/>
      <c r="B2" s="146"/>
      <c r="C2" s="146"/>
      <c r="D2" s="146"/>
      <c r="E2" s="146"/>
      <c r="F2" s="139" t="s">
        <v>30</v>
      </c>
      <c r="G2" s="139" t="s">
        <v>31</v>
      </c>
      <c r="H2" s="139" t="s">
        <v>32</v>
      </c>
      <c r="I2" s="139" t="s">
        <v>33</v>
      </c>
      <c r="J2" s="139" t="s">
        <v>170</v>
      </c>
      <c r="K2" s="139" t="s">
        <v>280</v>
      </c>
      <c r="L2" s="139" t="s">
        <v>34</v>
      </c>
      <c r="M2" s="139" t="s">
        <v>32</v>
      </c>
      <c r="N2" s="139" t="s">
        <v>33</v>
      </c>
      <c r="O2" s="146"/>
      <c r="P2" s="146"/>
      <c r="Q2" s="146"/>
      <c r="R2" s="146"/>
    </row>
    <row r="3" spans="1:18">
      <c r="A3" s="147" t="s">
        <v>35</v>
      </c>
      <c r="B3" s="148" t="s">
        <v>111</v>
      </c>
      <c r="C3" s="149" t="s">
        <v>112</v>
      </c>
      <c r="D3" s="148" t="s">
        <v>94</v>
      </c>
      <c r="E3" s="149" t="s">
        <v>11</v>
      </c>
      <c r="F3" s="150">
        <v>2000</v>
      </c>
      <c r="G3" s="150">
        <v>225500</v>
      </c>
      <c r="H3" s="150">
        <v>149504580</v>
      </c>
      <c r="I3" s="150">
        <v>451000000</v>
      </c>
      <c r="J3" s="150">
        <v>2000</v>
      </c>
      <c r="K3" s="150">
        <v>2000</v>
      </c>
      <c r="L3" s="150">
        <v>224490</v>
      </c>
      <c r="M3" s="150">
        <v>149504580</v>
      </c>
      <c r="N3" s="150">
        <v>448980000</v>
      </c>
      <c r="O3" s="150">
        <v>-2020000</v>
      </c>
      <c r="P3" s="150">
        <v>299475420</v>
      </c>
      <c r="Q3" s="151">
        <v>200.31</v>
      </c>
      <c r="R3" s="151">
        <v>-0.44</v>
      </c>
    </row>
    <row r="4" spans="1:18">
      <c r="A4" s="128" t="s">
        <v>39</v>
      </c>
      <c r="B4" s="129" t="s">
        <v>111</v>
      </c>
      <c r="C4" s="130" t="s">
        <v>112</v>
      </c>
      <c r="D4" s="129" t="s">
        <v>205</v>
      </c>
      <c r="E4" s="130" t="s">
        <v>206</v>
      </c>
      <c r="F4" s="131">
        <v>13500</v>
      </c>
      <c r="G4" s="131">
        <v>89300</v>
      </c>
      <c r="H4" s="131">
        <v>791533380</v>
      </c>
      <c r="I4" s="131">
        <v>1205550000</v>
      </c>
      <c r="J4" s="131">
        <v>13500</v>
      </c>
      <c r="K4" s="131">
        <v>13500</v>
      </c>
      <c r="L4" s="131">
        <v>83730</v>
      </c>
      <c r="M4" s="131">
        <v>791533380</v>
      </c>
      <c r="N4" s="131">
        <v>1130355000</v>
      </c>
      <c r="O4" s="131">
        <v>-75195000</v>
      </c>
      <c r="P4" s="131">
        <v>338821620</v>
      </c>
      <c r="Q4" s="132">
        <v>42.8</v>
      </c>
      <c r="R4" s="132">
        <v>-6.23</v>
      </c>
    </row>
    <row r="5" spans="1:18">
      <c r="A5" s="128"/>
      <c r="B5" s="133"/>
      <c r="C5" s="134"/>
      <c r="D5" s="133"/>
      <c r="E5" s="134"/>
      <c r="F5" s="135"/>
      <c r="G5" s="135"/>
      <c r="H5" s="135"/>
      <c r="I5" s="135"/>
      <c r="J5" s="135"/>
      <c r="K5" s="152"/>
      <c r="L5" s="135"/>
      <c r="M5" s="135"/>
      <c r="N5" s="135"/>
      <c r="O5" s="135"/>
      <c r="P5" s="135"/>
      <c r="Q5" s="136"/>
      <c r="R5" s="136"/>
    </row>
    <row r="6" spans="1:18">
      <c r="A6" s="128" t="s">
        <v>41</v>
      </c>
      <c r="B6" s="129" t="s">
        <v>111</v>
      </c>
      <c r="C6" s="130" t="s">
        <v>112</v>
      </c>
      <c r="D6" s="129" t="s">
        <v>196</v>
      </c>
      <c r="E6" s="130" t="s">
        <v>197</v>
      </c>
      <c r="F6" s="131">
        <v>5000</v>
      </c>
      <c r="G6" s="131">
        <v>42300</v>
      </c>
      <c r="H6" s="131">
        <v>132599994</v>
      </c>
      <c r="I6" s="131">
        <v>211500000</v>
      </c>
      <c r="J6" s="131">
        <v>6500</v>
      </c>
      <c r="K6" s="131">
        <v>6500</v>
      </c>
      <c r="L6" s="131">
        <v>40340</v>
      </c>
      <c r="M6" s="131">
        <v>192320839</v>
      </c>
      <c r="N6" s="131">
        <v>262210000</v>
      </c>
      <c r="O6" s="131">
        <v>-9010845</v>
      </c>
      <c r="P6" s="131">
        <v>69889161</v>
      </c>
      <c r="Q6" s="132">
        <v>36.33</v>
      </c>
      <c r="R6" s="132">
        <v>-4.63</v>
      </c>
    </row>
    <row r="7" spans="1:18">
      <c r="A7" s="128" t="s">
        <v>44</v>
      </c>
      <c r="B7" s="133" t="s">
        <v>111</v>
      </c>
      <c r="C7" s="134" t="s">
        <v>112</v>
      </c>
      <c r="D7" s="133" t="s">
        <v>265</v>
      </c>
      <c r="E7" s="134" t="s">
        <v>266</v>
      </c>
      <c r="F7" s="135">
        <v>1800</v>
      </c>
      <c r="G7" s="135">
        <v>165800</v>
      </c>
      <c r="H7" s="135">
        <v>189285997</v>
      </c>
      <c r="I7" s="135">
        <v>298440000</v>
      </c>
      <c r="J7" s="135">
        <v>1800</v>
      </c>
      <c r="K7" s="135">
        <v>1800</v>
      </c>
      <c r="L7" s="135">
        <v>140000</v>
      </c>
      <c r="M7" s="135">
        <v>189285997</v>
      </c>
      <c r="N7" s="135">
        <v>252000000</v>
      </c>
      <c r="O7" s="135">
        <v>-46440000</v>
      </c>
      <c r="P7" s="135">
        <v>62714003</v>
      </c>
      <c r="Q7" s="136">
        <v>33.130000000000003</v>
      </c>
      <c r="R7" s="136">
        <v>-15.56</v>
      </c>
    </row>
    <row r="8" spans="1:18">
      <c r="A8" s="128" t="s">
        <v>46</v>
      </c>
      <c r="B8" s="129" t="s">
        <v>111</v>
      </c>
      <c r="C8" s="130" t="s">
        <v>112</v>
      </c>
      <c r="D8" s="129" t="s">
        <v>95</v>
      </c>
      <c r="E8" s="130" t="s">
        <v>10</v>
      </c>
      <c r="F8" s="131">
        <v>8000</v>
      </c>
      <c r="G8" s="131">
        <v>24360</v>
      </c>
      <c r="H8" s="131">
        <v>154372443</v>
      </c>
      <c r="I8" s="131">
        <v>194880000</v>
      </c>
      <c r="J8" s="131">
        <v>8000</v>
      </c>
      <c r="K8" s="131">
        <v>8000</v>
      </c>
      <c r="L8" s="131">
        <v>24875</v>
      </c>
      <c r="M8" s="131">
        <v>154372443</v>
      </c>
      <c r="N8" s="131">
        <v>199000000</v>
      </c>
      <c r="O8" s="131">
        <v>4120000</v>
      </c>
      <c r="P8" s="131">
        <v>44627557</v>
      </c>
      <c r="Q8" s="132">
        <v>28.9</v>
      </c>
      <c r="R8" s="132">
        <v>2.11</v>
      </c>
    </row>
    <row r="9" spans="1:18">
      <c r="A9" s="128" t="s">
        <v>47</v>
      </c>
      <c r="B9" s="133" t="s">
        <v>111</v>
      </c>
      <c r="C9" s="134" t="s">
        <v>112</v>
      </c>
      <c r="D9" s="133" t="s">
        <v>70</v>
      </c>
      <c r="E9" s="134" t="s">
        <v>71</v>
      </c>
      <c r="F9" s="135">
        <v>300</v>
      </c>
      <c r="G9" s="135">
        <v>684000</v>
      </c>
      <c r="H9" s="135">
        <v>157020248</v>
      </c>
      <c r="I9" s="135">
        <v>205200000</v>
      </c>
      <c r="J9" s="135">
        <v>300</v>
      </c>
      <c r="K9" s="135">
        <v>300</v>
      </c>
      <c r="L9" s="135">
        <v>673000</v>
      </c>
      <c r="M9" s="135">
        <v>157020248</v>
      </c>
      <c r="N9" s="135">
        <v>201900000</v>
      </c>
      <c r="O9" s="135">
        <v>-3300000</v>
      </c>
      <c r="P9" s="135">
        <v>44879752</v>
      </c>
      <c r="Q9" s="136">
        <v>28.58</v>
      </c>
      <c r="R9" s="136">
        <v>-1.6</v>
      </c>
    </row>
    <row r="10" spans="1:18">
      <c r="A10" s="128" t="s">
        <v>48</v>
      </c>
      <c r="B10" s="129" t="s">
        <v>111</v>
      </c>
      <c r="C10" s="130" t="s">
        <v>112</v>
      </c>
      <c r="D10" s="129" t="s">
        <v>207</v>
      </c>
      <c r="E10" s="130" t="s">
        <v>208</v>
      </c>
      <c r="F10" s="131">
        <v>30000</v>
      </c>
      <c r="G10" s="131">
        <v>16160</v>
      </c>
      <c r="H10" s="131">
        <v>396360719</v>
      </c>
      <c r="I10" s="131">
        <v>484800000</v>
      </c>
      <c r="J10" s="131">
        <v>30000</v>
      </c>
      <c r="K10" s="131">
        <v>30000</v>
      </c>
      <c r="L10" s="131">
        <v>16275</v>
      </c>
      <c r="M10" s="131">
        <v>396360719</v>
      </c>
      <c r="N10" s="131">
        <v>488250000</v>
      </c>
      <c r="O10" s="131">
        <v>3450000</v>
      </c>
      <c r="P10" s="131">
        <v>91889281</v>
      </c>
      <c r="Q10" s="132">
        <v>23.18</v>
      </c>
      <c r="R10" s="132">
        <v>0.71</v>
      </c>
    </row>
    <row r="11" spans="1:18">
      <c r="A11" s="128" t="s">
        <v>49</v>
      </c>
      <c r="B11" s="133" t="s">
        <v>111</v>
      </c>
      <c r="C11" s="134" t="s">
        <v>112</v>
      </c>
      <c r="D11" s="133" t="s">
        <v>275</v>
      </c>
      <c r="E11" s="134" t="s">
        <v>276</v>
      </c>
      <c r="F11" s="135">
        <v>700</v>
      </c>
      <c r="G11" s="135">
        <v>271500</v>
      </c>
      <c r="H11" s="135">
        <v>165244088</v>
      </c>
      <c r="I11" s="135">
        <v>190050000</v>
      </c>
      <c r="J11" s="135">
        <v>1500</v>
      </c>
      <c r="K11" s="135">
        <v>1500</v>
      </c>
      <c r="L11" s="135">
        <v>280500</v>
      </c>
      <c r="M11" s="135">
        <v>371272588</v>
      </c>
      <c r="N11" s="135">
        <v>420750000</v>
      </c>
      <c r="O11" s="135">
        <v>24671500</v>
      </c>
      <c r="P11" s="135">
        <v>49477412</v>
      </c>
      <c r="Q11" s="136">
        <v>13.32</v>
      </c>
      <c r="R11" s="136">
        <v>3.31</v>
      </c>
    </row>
    <row r="12" spans="1:18">
      <c r="A12" s="128" t="s">
        <v>51</v>
      </c>
      <c r="B12" s="129" t="s">
        <v>111</v>
      </c>
      <c r="C12" s="130" t="s">
        <v>112</v>
      </c>
      <c r="D12" s="129" t="s">
        <v>96</v>
      </c>
      <c r="E12" s="130" t="s">
        <v>5</v>
      </c>
      <c r="F12" s="131">
        <v>8200</v>
      </c>
      <c r="G12" s="131">
        <v>25940</v>
      </c>
      <c r="H12" s="131">
        <v>180962519</v>
      </c>
      <c r="I12" s="131">
        <v>212708000</v>
      </c>
      <c r="J12" s="131">
        <v>10000</v>
      </c>
      <c r="K12" s="131">
        <v>10000</v>
      </c>
      <c r="L12" s="131">
        <v>24045</v>
      </c>
      <c r="M12" s="131">
        <v>224120390</v>
      </c>
      <c r="N12" s="131">
        <v>240450000</v>
      </c>
      <c r="O12" s="131">
        <v>-15415871</v>
      </c>
      <c r="P12" s="131">
        <v>16329610</v>
      </c>
      <c r="Q12" s="132">
        <v>7.28</v>
      </c>
      <c r="R12" s="132">
        <v>-7.3</v>
      </c>
    </row>
    <row r="13" spans="1:18">
      <c r="A13" s="128" t="s">
        <v>52</v>
      </c>
      <c r="B13" s="133" t="s">
        <v>111</v>
      </c>
      <c r="C13" s="134" t="s">
        <v>112</v>
      </c>
      <c r="D13" s="133" t="s">
        <v>45</v>
      </c>
      <c r="E13" s="134" t="s">
        <v>6</v>
      </c>
      <c r="F13" s="135">
        <v>3000</v>
      </c>
      <c r="G13" s="135">
        <v>106900</v>
      </c>
      <c r="H13" s="135">
        <v>283108780</v>
      </c>
      <c r="I13" s="135">
        <v>320700000</v>
      </c>
      <c r="J13" s="135">
        <v>3000</v>
      </c>
      <c r="K13" s="135">
        <v>3000</v>
      </c>
      <c r="L13" s="135">
        <v>100000</v>
      </c>
      <c r="M13" s="135">
        <v>283108780</v>
      </c>
      <c r="N13" s="135">
        <v>300000000</v>
      </c>
      <c r="O13" s="135">
        <v>-20700000</v>
      </c>
      <c r="P13" s="135">
        <v>16891220</v>
      </c>
      <c r="Q13" s="136">
        <v>5.96</v>
      </c>
      <c r="R13" s="136">
        <v>-6.45</v>
      </c>
    </row>
    <row r="14" spans="1:18">
      <c r="A14" s="128" t="s">
        <v>53</v>
      </c>
      <c r="B14" s="129" t="s">
        <v>111</v>
      </c>
      <c r="C14" s="130" t="s">
        <v>112</v>
      </c>
      <c r="D14" s="129" t="s">
        <v>294</v>
      </c>
      <c r="E14" s="130" t="s">
        <v>295</v>
      </c>
      <c r="F14" s="131">
        <v>0</v>
      </c>
      <c r="G14" s="131">
        <v>18975</v>
      </c>
      <c r="H14" s="131">
        <v>0</v>
      </c>
      <c r="I14" s="131">
        <v>0</v>
      </c>
      <c r="J14" s="131">
        <v>15000</v>
      </c>
      <c r="K14" s="131">
        <v>15000</v>
      </c>
      <c r="L14" s="131">
        <v>20790</v>
      </c>
      <c r="M14" s="131">
        <v>301432855</v>
      </c>
      <c r="N14" s="131">
        <v>311850000</v>
      </c>
      <c r="O14" s="131">
        <v>10417145</v>
      </c>
      <c r="P14" s="131">
        <v>10417145</v>
      </c>
      <c r="Q14" s="132">
        <v>3.45</v>
      </c>
      <c r="R14" s="132">
        <v>9.56</v>
      </c>
    </row>
    <row r="15" spans="1:18">
      <c r="A15" s="128" t="s">
        <v>54</v>
      </c>
      <c r="B15" s="133" t="s">
        <v>111</v>
      </c>
      <c r="C15" s="134" t="s">
        <v>112</v>
      </c>
      <c r="D15" s="133" t="s">
        <v>271</v>
      </c>
      <c r="E15" s="134" t="s">
        <v>272</v>
      </c>
      <c r="F15" s="135">
        <v>9000</v>
      </c>
      <c r="G15" s="135">
        <v>29800</v>
      </c>
      <c r="H15" s="135">
        <v>274998296</v>
      </c>
      <c r="I15" s="135">
        <v>268200000</v>
      </c>
      <c r="J15" s="135">
        <v>9000</v>
      </c>
      <c r="K15" s="135">
        <v>9000</v>
      </c>
      <c r="L15" s="135">
        <v>31350</v>
      </c>
      <c r="M15" s="135">
        <v>274998296</v>
      </c>
      <c r="N15" s="135">
        <v>282150000</v>
      </c>
      <c r="O15" s="135">
        <v>13950000</v>
      </c>
      <c r="P15" s="135">
        <v>7151704</v>
      </c>
      <c r="Q15" s="136">
        <v>2.6</v>
      </c>
      <c r="R15" s="136">
        <v>5.2</v>
      </c>
    </row>
    <row r="16" spans="1:18">
      <c r="A16" s="128" t="s">
        <v>55</v>
      </c>
      <c r="B16" s="129" t="s">
        <v>111</v>
      </c>
      <c r="C16" s="130" t="s">
        <v>112</v>
      </c>
      <c r="D16" s="129" t="s">
        <v>296</v>
      </c>
      <c r="E16" s="130" t="s">
        <v>297</v>
      </c>
      <c r="F16" s="131">
        <v>0</v>
      </c>
      <c r="G16" s="131">
        <v>2203000</v>
      </c>
      <c r="H16" s="131">
        <v>0</v>
      </c>
      <c r="I16" s="131">
        <v>0</v>
      </c>
      <c r="J16" s="131">
        <v>110</v>
      </c>
      <c r="K16" s="131">
        <v>110</v>
      </c>
      <c r="L16" s="131">
        <v>1918000</v>
      </c>
      <c r="M16" s="131">
        <v>206793000</v>
      </c>
      <c r="N16" s="131">
        <v>210980000</v>
      </c>
      <c r="O16" s="131">
        <v>4187000</v>
      </c>
      <c r="P16" s="131">
        <v>4187000</v>
      </c>
      <c r="Q16" s="132">
        <v>2.02</v>
      </c>
      <c r="R16" s="132">
        <v>-12.93</v>
      </c>
    </row>
    <row r="17" spans="1:18">
      <c r="A17" s="128" t="s">
        <v>56</v>
      </c>
      <c r="B17" s="133" t="s">
        <v>111</v>
      </c>
      <c r="C17" s="134" t="s">
        <v>112</v>
      </c>
      <c r="D17" s="133" t="s">
        <v>283</v>
      </c>
      <c r="E17" s="134" t="s">
        <v>284</v>
      </c>
      <c r="F17" s="135">
        <v>20000</v>
      </c>
      <c r="G17" s="135">
        <v>10115</v>
      </c>
      <c r="H17" s="135">
        <v>202760106</v>
      </c>
      <c r="I17" s="135">
        <v>202300000</v>
      </c>
      <c r="J17" s="135">
        <v>20000</v>
      </c>
      <c r="K17" s="135">
        <v>20000</v>
      </c>
      <c r="L17" s="135">
        <v>10295</v>
      </c>
      <c r="M17" s="135">
        <v>202760106</v>
      </c>
      <c r="N17" s="135">
        <v>205900000</v>
      </c>
      <c r="O17" s="135">
        <v>3600000</v>
      </c>
      <c r="P17" s="135">
        <v>3139894</v>
      </c>
      <c r="Q17" s="136">
        <v>1.54</v>
      </c>
      <c r="R17" s="136">
        <v>1.77</v>
      </c>
    </row>
    <row r="18" spans="1:18">
      <c r="A18" s="128" t="s">
        <v>57</v>
      </c>
      <c r="B18" s="129" t="s">
        <v>111</v>
      </c>
      <c r="C18" s="130" t="s">
        <v>112</v>
      </c>
      <c r="D18" s="129" t="s">
        <v>73</v>
      </c>
      <c r="E18" s="130" t="s">
        <v>0</v>
      </c>
      <c r="F18" s="131">
        <v>5500</v>
      </c>
      <c r="G18" s="131">
        <v>42850</v>
      </c>
      <c r="H18" s="131">
        <v>210559239</v>
      </c>
      <c r="I18" s="131">
        <v>235675000</v>
      </c>
      <c r="J18" s="131">
        <v>5500</v>
      </c>
      <c r="K18" s="131">
        <v>5500</v>
      </c>
      <c r="L18" s="131">
        <v>38850</v>
      </c>
      <c r="M18" s="131">
        <v>210559239</v>
      </c>
      <c r="N18" s="131">
        <v>213675000</v>
      </c>
      <c r="O18" s="131">
        <v>-22000000</v>
      </c>
      <c r="P18" s="131">
        <v>3115761</v>
      </c>
      <c r="Q18" s="132">
        <v>1.47</v>
      </c>
      <c r="R18" s="132">
        <v>-9.33</v>
      </c>
    </row>
    <row r="19" spans="1:18">
      <c r="A19" s="128" t="s">
        <v>58</v>
      </c>
      <c r="B19" s="133" t="s">
        <v>111</v>
      </c>
      <c r="C19" s="134" t="s">
        <v>112</v>
      </c>
      <c r="D19" s="133" t="s">
        <v>298</v>
      </c>
      <c r="E19" s="134" t="s">
        <v>299</v>
      </c>
      <c r="F19" s="135">
        <v>0</v>
      </c>
      <c r="G19" s="135">
        <v>31215</v>
      </c>
      <c r="H19" s="135">
        <v>0</v>
      </c>
      <c r="I19" s="135">
        <v>0</v>
      </c>
      <c r="J19" s="135">
        <v>200</v>
      </c>
      <c r="K19" s="135">
        <v>10000</v>
      </c>
      <c r="L19" s="135">
        <v>30830</v>
      </c>
      <c r="M19" s="135">
        <v>6086000</v>
      </c>
      <c r="N19" s="135">
        <v>6166000</v>
      </c>
      <c r="O19" s="135">
        <v>80000</v>
      </c>
      <c r="P19" s="135">
        <v>80000</v>
      </c>
      <c r="Q19" s="136">
        <v>1.31</v>
      </c>
      <c r="R19" s="136">
        <v>-1.23</v>
      </c>
    </row>
    <row r="20" spans="1:18">
      <c r="A20" s="128" t="s">
        <v>59</v>
      </c>
      <c r="B20" s="129" t="s">
        <v>111</v>
      </c>
      <c r="C20" s="130" t="s">
        <v>112</v>
      </c>
      <c r="D20" s="129" t="s">
        <v>62</v>
      </c>
      <c r="E20" s="130" t="s">
        <v>8</v>
      </c>
      <c r="F20" s="131">
        <v>3900</v>
      </c>
      <c r="G20" s="131">
        <v>27500</v>
      </c>
      <c r="H20" s="131">
        <v>105447357</v>
      </c>
      <c r="I20" s="131">
        <v>107250000</v>
      </c>
      <c r="J20" s="131">
        <v>4489</v>
      </c>
      <c r="K20" s="131">
        <v>5000</v>
      </c>
      <c r="L20" s="131">
        <v>27200</v>
      </c>
      <c r="M20" s="131">
        <v>121226257</v>
      </c>
      <c r="N20" s="131">
        <v>122100800</v>
      </c>
      <c r="O20" s="131">
        <v>-928100</v>
      </c>
      <c r="P20" s="131">
        <v>874543</v>
      </c>
      <c r="Q20" s="132">
        <v>0.72</v>
      </c>
      <c r="R20" s="132">
        <v>-1.0900000000000001</v>
      </c>
    </row>
    <row r="21" spans="1:18">
      <c r="A21" s="128" t="s">
        <v>60</v>
      </c>
      <c r="B21" s="133" t="s">
        <v>111</v>
      </c>
      <c r="C21" s="134" t="s">
        <v>112</v>
      </c>
      <c r="D21" s="133" t="s">
        <v>190</v>
      </c>
      <c r="E21" s="134" t="s">
        <v>186</v>
      </c>
      <c r="F21" s="135">
        <v>109600</v>
      </c>
      <c r="G21" s="135">
        <v>2045</v>
      </c>
      <c r="H21" s="135">
        <v>220781785</v>
      </c>
      <c r="I21" s="135">
        <v>224132000</v>
      </c>
      <c r="J21" s="135">
        <v>109600</v>
      </c>
      <c r="K21" s="135">
        <v>109600</v>
      </c>
      <c r="L21" s="135">
        <v>2025</v>
      </c>
      <c r="M21" s="135">
        <v>220781785</v>
      </c>
      <c r="N21" s="135">
        <v>221940000</v>
      </c>
      <c r="O21" s="135">
        <v>-2192000</v>
      </c>
      <c r="P21" s="135">
        <v>1158215</v>
      </c>
      <c r="Q21" s="136">
        <v>0.52</v>
      </c>
      <c r="R21" s="136">
        <v>-0.97</v>
      </c>
    </row>
    <row r="22" spans="1:18">
      <c r="A22" s="128" t="s">
        <v>61</v>
      </c>
      <c r="B22" s="129" t="s">
        <v>111</v>
      </c>
      <c r="C22" s="130" t="s">
        <v>112</v>
      </c>
      <c r="D22" s="129" t="s">
        <v>113</v>
      </c>
      <c r="E22" s="130" t="s">
        <v>114</v>
      </c>
      <c r="F22" s="131">
        <v>214000</v>
      </c>
      <c r="G22" s="131">
        <v>53925</v>
      </c>
      <c r="H22" s="131">
        <v>11485325246</v>
      </c>
      <c r="I22" s="131">
        <v>11539950000</v>
      </c>
      <c r="J22" s="131">
        <v>214000</v>
      </c>
      <c r="K22" s="131">
        <v>214000</v>
      </c>
      <c r="L22" s="131">
        <v>53930</v>
      </c>
      <c r="M22" s="131">
        <v>11485325246</v>
      </c>
      <c r="N22" s="131">
        <v>11541020000</v>
      </c>
      <c r="O22" s="131">
        <v>1070000</v>
      </c>
      <c r="P22" s="131">
        <v>55694754</v>
      </c>
      <c r="Q22" s="132">
        <v>0.48</v>
      </c>
      <c r="R22" s="132">
        <v>0</v>
      </c>
    </row>
    <row r="23" spans="1:18">
      <c r="A23" s="128" t="s">
        <v>63</v>
      </c>
      <c r="B23" s="133" t="s">
        <v>111</v>
      </c>
      <c r="C23" s="134" t="s">
        <v>112</v>
      </c>
      <c r="D23" s="133" t="s">
        <v>300</v>
      </c>
      <c r="E23" s="134" t="s">
        <v>301</v>
      </c>
      <c r="F23" s="135">
        <v>86</v>
      </c>
      <c r="G23" s="135">
        <v>0</v>
      </c>
      <c r="H23" s="135">
        <v>0</v>
      </c>
      <c r="I23" s="135">
        <v>0</v>
      </c>
      <c r="J23" s="135">
        <v>86</v>
      </c>
      <c r="K23" s="135">
        <v>86</v>
      </c>
      <c r="L23" s="135">
        <v>18540</v>
      </c>
      <c r="M23" s="135">
        <v>0</v>
      </c>
      <c r="N23" s="135">
        <v>1594440</v>
      </c>
      <c r="O23" s="135">
        <v>1594440</v>
      </c>
      <c r="P23" s="135">
        <v>1594440</v>
      </c>
      <c r="Q23" s="136">
        <v>0</v>
      </c>
      <c r="R23" s="136">
        <v>0</v>
      </c>
    </row>
    <row r="24" spans="1:18">
      <c r="A24" s="128" t="s">
        <v>64</v>
      </c>
      <c r="B24" s="129" t="s">
        <v>111</v>
      </c>
      <c r="C24" s="130" t="s">
        <v>112</v>
      </c>
      <c r="D24" s="129" t="s">
        <v>103</v>
      </c>
      <c r="E24" s="130" t="s">
        <v>12</v>
      </c>
      <c r="F24" s="131">
        <v>5000</v>
      </c>
      <c r="G24" s="131">
        <v>25530</v>
      </c>
      <c r="H24" s="131">
        <v>130085322</v>
      </c>
      <c r="I24" s="131">
        <v>127650000</v>
      </c>
      <c r="J24" s="131">
        <v>5000</v>
      </c>
      <c r="K24" s="131">
        <v>5000</v>
      </c>
      <c r="L24" s="131">
        <v>25650</v>
      </c>
      <c r="M24" s="131">
        <v>130085322</v>
      </c>
      <c r="N24" s="131">
        <v>128250000</v>
      </c>
      <c r="O24" s="131">
        <v>600000</v>
      </c>
      <c r="P24" s="131">
        <v>-1835322</v>
      </c>
      <c r="Q24" s="132">
        <v>-1.41</v>
      </c>
      <c r="R24" s="132">
        <v>0.47</v>
      </c>
    </row>
    <row r="25" spans="1:18">
      <c r="A25" s="128" t="s">
        <v>65</v>
      </c>
      <c r="B25" s="133" t="s">
        <v>111</v>
      </c>
      <c r="C25" s="134" t="s">
        <v>112</v>
      </c>
      <c r="D25" s="133" t="s">
        <v>209</v>
      </c>
      <c r="E25" s="134" t="s">
        <v>210</v>
      </c>
      <c r="F25" s="135">
        <v>3800</v>
      </c>
      <c r="G25" s="135">
        <v>46595</v>
      </c>
      <c r="H25" s="135">
        <v>173508800</v>
      </c>
      <c r="I25" s="135">
        <v>177061000</v>
      </c>
      <c r="J25" s="135">
        <v>5000</v>
      </c>
      <c r="K25" s="135">
        <v>5000</v>
      </c>
      <c r="L25" s="135">
        <v>43300</v>
      </c>
      <c r="M25" s="135">
        <v>225466875</v>
      </c>
      <c r="N25" s="135">
        <v>216500000</v>
      </c>
      <c r="O25" s="135">
        <v>-12519075</v>
      </c>
      <c r="P25" s="135">
        <v>-8966875</v>
      </c>
      <c r="Q25" s="136">
        <v>-3.97</v>
      </c>
      <c r="R25" s="136">
        <v>-7.07</v>
      </c>
    </row>
    <row r="26" spans="1:18">
      <c r="A26" s="128" t="s">
        <v>66</v>
      </c>
      <c r="B26" s="129" t="s">
        <v>111</v>
      </c>
      <c r="C26" s="130" t="s">
        <v>112</v>
      </c>
      <c r="D26" s="129" t="s">
        <v>80</v>
      </c>
      <c r="E26" s="130" t="s">
        <v>2</v>
      </c>
      <c r="F26" s="131">
        <v>15900</v>
      </c>
      <c r="G26" s="131">
        <v>14500</v>
      </c>
      <c r="H26" s="131">
        <v>240941375</v>
      </c>
      <c r="I26" s="131">
        <v>230550000</v>
      </c>
      <c r="J26" s="131">
        <v>15988</v>
      </c>
      <c r="K26" s="131">
        <v>17000</v>
      </c>
      <c r="L26" s="131">
        <v>14380</v>
      </c>
      <c r="M26" s="131">
        <v>242193615</v>
      </c>
      <c r="N26" s="131">
        <v>229907440</v>
      </c>
      <c r="O26" s="131">
        <v>-1894800</v>
      </c>
      <c r="P26" s="131">
        <v>-12286175</v>
      </c>
      <c r="Q26" s="132">
        <v>-5.07</v>
      </c>
      <c r="R26" s="132">
        <v>-0.82</v>
      </c>
    </row>
    <row r="27" spans="1:18">
      <c r="A27" s="128"/>
      <c r="B27" s="133"/>
      <c r="C27" s="134"/>
      <c r="D27" s="133"/>
      <c r="E27" s="134"/>
      <c r="F27" s="135"/>
      <c r="G27" s="135"/>
      <c r="H27" s="135"/>
      <c r="I27" s="135"/>
      <c r="J27" s="135"/>
      <c r="K27" s="152"/>
      <c r="L27" s="135"/>
      <c r="M27" s="135"/>
      <c r="N27" s="135"/>
      <c r="O27" s="135"/>
      <c r="P27" s="135"/>
      <c r="Q27" s="136"/>
      <c r="R27" s="136"/>
    </row>
    <row r="28" spans="1:18">
      <c r="A28" s="128" t="s">
        <v>69</v>
      </c>
      <c r="B28" s="129" t="s">
        <v>111</v>
      </c>
      <c r="C28" s="130" t="s">
        <v>112</v>
      </c>
      <c r="D28" s="129" t="s">
        <v>273</v>
      </c>
      <c r="E28" s="130" t="s">
        <v>274</v>
      </c>
      <c r="F28" s="131">
        <v>1000</v>
      </c>
      <c r="G28" s="131">
        <v>181400</v>
      </c>
      <c r="H28" s="131">
        <v>188659380</v>
      </c>
      <c r="I28" s="131">
        <v>181400000</v>
      </c>
      <c r="J28" s="131">
        <v>1000</v>
      </c>
      <c r="K28" s="131">
        <v>1000</v>
      </c>
      <c r="L28" s="131">
        <v>170100</v>
      </c>
      <c r="M28" s="131">
        <v>188659380</v>
      </c>
      <c r="N28" s="131">
        <v>170100000</v>
      </c>
      <c r="O28" s="131">
        <v>-11300000</v>
      </c>
      <c r="P28" s="131">
        <v>-18559380</v>
      </c>
      <c r="Q28" s="132">
        <v>-9.83</v>
      </c>
      <c r="R28" s="132">
        <v>-6.22</v>
      </c>
    </row>
    <row r="29" spans="1:18">
      <c r="A29" s="128"/>
      <c r="B29" s="133"/>
      <c r="C29" s="134"/>
      <c r="D29" s="133"/>
      <c r="E29" s="134"/>
      <c r="F29" s="135"/>
      <c r="G29" s="135"/>
      <c r="H29" s="135"/>
      <c r="I29" s="135"/>
      <c r="J29" s="135"/>
      <c r="K29" s="152"/>
      <c r="L29" s="135"/>
      <c r="M29" s="135"/>
      <c r="N29" s="135"/>
      <c r="O29" s="135"/>
      <c r="P29" s="135"/>
      <c r="Q29" s="136"/>
      <c r="R29" s="136"/>
    </row>
    <row r="30" spans="1:18">
      <c r="A30" s="128" t="s">
        <v>74</v>
      </c>
      <c r="B30" s="129" t="s">
        <v>111</v>
      </c>
      <c r="C30" s="130" t="s">
        <v>112</v>
      </c>
      <c r="D30" s="129" t="s">
        <v>106</v>
      </c>
      <c r="E30" s="130" t="s">
        <v>7</v>
      </c>
      <c r="F30" s="131">
        <v>35000</v>
      </c>
      <c r="G30" s="131">
        <v>14060</v>
      </c>
      <c r="H30" s="131">
        <v>524151287</v>
      </c>
      <c r="I30" s="131">
        <v>492100000</v>
      </c>
      <c r="J30" s="131">
        <v>38000</v>
      </c>
      <c r="K30" s="131">
        <v>38000</v>
      </c>
      <c r="L30" s="131">
        <v>13330</v>
      </c>
      <c r="M30" s="131">
        <v>564629087</v>
      </c>
      <c r="N30" s="131">
        <v>506540000</v>
      </c>
      <c r="O30" s="131">
        <v>-26037800</v>
      </c>
      <c r="P30" s="131">
        <v>-58089087</v>
      </c>
      <c r="Q30" s="132">
        <v>-10.28</v>
      </c>
      <c r="R30" s="132">
        <v>-5.19</v>
      </c>
    </row>
    <row r="31" spans="1:18">
      <c r="A31" s="128"/>
      <c r="B31" s="133"/>
      <c r="C31" s="134"/>
      <c r="D31" s="133"/>
      <c r="E31" s="134"/>
      <c r="F31" s="135"/>
      <c r="G31" s="135"/>
      <c r="H31" s="135"/>
      <c r="I31" s="135"/>
      <c r="J31" s="135"/>
      <c r="K31" s="152"/>
      <c r="L31" s="135"/>
      <c r="M31" s="135"/>
      <c r="N31" s="135"/>
      <c r="O31" s="135"/>
      <c r="P31" s="135"/>
      <c r="Q31" s="136"/>
      <c r="R31" s="136"/>
    </row>
    <row r="32" spans="1:18">
      <c r="A32" s="128" t="s">
        <v>76</v>
      </c>
      <c r="B32" s="129" t="s">
        <v>111</v>
      </c>
      <c r="C32" s="130" t="s">
        <v>112</v>
      </c>
      <c r="D32" s="129" t="s">
        <v>281</v>
      </c>
      <c r="E32" s="130" t="s">
        <v>282</v>
      </c>
      <c r="F32" s="131">
        <v>1000</v>
      </c>
      <c r="G32" s="131">
        <v>177800</v>
      </c>
      <c r="H32" s="131">
        <v>176848565</v>
      </c>
      <c r="I32" s="131">
        <v>177800000</v>
      </c>
      <c r="J32" s="131">
        <v>1000</v>
      </c>
      <c r="K32" s="131">
        <v>1000</v>
      </c>
      <c r="L32" s="131">
        <v>157500</v>
      </c>
      <c r="M32" s="131">
        <v>176848565</v>
      </c>
      <c r="N32" s="131">
        <v>157500000</v>
      </c>
      <c r="O32" s="131">
        <v>-20300000</v>
      </c>
      <c r="P32" s="131">
        <v>-19348565</v>
      </c>
      <c r="Q32" s="132">
        <v>-10.94</v>
      </c>
      <c r="R32" s="132">
        <v>-11.41</v>
      </c>
    </row>
    <row r="33" spans="1:18">
      <c r="A33" s="128"/>
      <c r="B33" s="133"/>
      <c r="C33" s="134"/>
      <c r="D33" s="133"/>
      <c r="E33" s="134"/>
      <c r="F33" s="135"/>
      <c r="G33" s="135"/>
      <c r="H33" s="135"/>
      <c r="I33" s="135"/>
      <c r="J33" s="135"/>
      <c r="K33" s="152"/>
      <c r="L33" s="135"/>
      <c r="M33" s="135"/>
      <c r="N33" s="135"/>
      <c r="O33" s="135"/>
      <c r="P33" s="135"/>
      <c r="Q33" s="136"/>
      <c r="R33" s="136"/>
    </row>
    <row r="34" spans="1:18">
      <c r="A34" s="128" t="s">
        <v>78</v>
      </c>
      <c r="B34" s="129" t="s">
        <v>111</v>
      </c>
      <c r="C34" s="130" t="s">
        <v>112</v>
      </c>
      <c r="D34" s="129" t="s">
        <v>267</v>
      </c>
      <c r="E34" s="130" t="s">
        <v>268</v>
      </c>
      <c r="F34" s="131">
        <v>10000</v>
      </c>
      <c r="G34" s="131">
        <v>30100</v>
      </c>
      <c r="H34" s="131">
        <v>347549143</v>
      </c>
      <c r="I34" s="131">
        <v>301000000</v>
      </c>
      <c r="J34" s="131">
        <v>10000</v>
      </c>
      <c r="K34" s="131">
        <v>10000</v>
      </c>
      <c r="L34" s="131">
        <v>30100</v>
      </c>
      <c r="M34" s="131">
        <v>347549143</v>
      </c>
      <c r="N34" s="131">
        <v>301000000</v>
      </c>
      <c r="O34" s="131">
        <v>0</v>
      </c>
      <c r="P34" s="131">
        <v>-46549143</v>
      </c>
      <c r="Q34" s="132">
        <v>-13.39</v>
      </c>
      <c r="R34" s="132">
        <v>0</v>
      </c>
    </row>
    <row r="35" spans="1:18">
      <c r="A35" s="128" t="s">
        <v>79</v>
      </c>
      <c r="B35" s="133" t="s">
        <v>111</v>
      </c>
      <c r="C35" s="134" t="s">
        <v>112</v>
      </c>
      <c r="D35" s="133" t="s">
        <v>269</v>
      </c>
      <c r="E35" s="134" t="s">
        <v>270</v>
      </c>
      <c r="F35" s="135">
        <v>5000</v>
      </c>
      <c r="G35" s="135">
        <v>58100</v>
      </c>
      <c r="H35" s="135">
        <v>328074349</v>
      </c>
      <c r="I35" s="135">
        <v>290500000</v>
      </c>
      <c r="J35" s="135">
        <v>5000</v>
      </c>
      <c r="K35" s="135">
        <v>5000</v>
      </c>
      <c r="L35" s="135">
        <v>56700</v>
      </c>
      <c r="M35" s="135">
        <v>328074349</v>
      </c>
      <c r="N35" s="135">
        <v>283500000</v>
      </c>
      <c r="O35" s="135">
        <v>-7000000</v>
      </c>
      <c r="P35" s="135">
        <v>-44574349</v>
      </c>
      <c r="Q35" s="136">
        <v>-13.58</v>
      </c>
      <c r="R35" s="136">
        <v>-2.4</v>
      </c>
    </row>
    <row r="36" spans="1:18">
      <c r="A36" s="128" t="s">
        <v>81</v>
      </c>
      <c r="B36" s="129" t="s">
        <v>111</v>
      </c>
      <c r="C36" s="130" t="s">
        <v>112</v>
      </c>
      <c r="D36" s="129" t="s">
        <v>188</v>
      </c>
      <c r="E36" s="130" t="s">
        <v>189</v>
      </c>
      <c r="F36" s="131">
        <v>23000</v>
      </c>
      <c r="G36" s="131">
        <v>8315</v>
      </c>
      <c r="H36" s="131">
        <v>223781940</v>
      </c>
      <c r="I36" s="131">
        <v>191245000</v>
      </c>
      <c r="J36" s="131">
        <v>23000</v>
      </c>
      <c r="K36" s="131">
        <v>23000</v>
      </c>
      <c r="L36" s="131">
        <v>8065</v>
      </c>
      <c r="M36" s="131">
        <v>223781940</v>
      </c>
      <c r="N36" s="131">
        <v>185495000</v>
      </c>
      <c r="O36" s="131">
        <v>-5750000</v>
      </c>
      <c r="P36" s="131">
        <v>-38286940</v>
      </c>
      <c r="Q36" s="132">
        <v>-17.100000000000001</v>
      </c>
      <c r="R36" s="132">
        <v>-3</v>
      </c>
    </row>
    <row r="37" spans="1:18">
      <c r="A37" s="128"/>
      <c r="B37" s="133"/>
      <c r="C37" s="134"/>
      <c r="D37" s="133"/>
      <c r="E37" s="134"/>
      <c r="F37" s="135"/>
      <c r="G37" s="135"/>
      <c r="H37" s="135"/>
      <c r="I37" s="135"/>
      <c r="J37" s="135"/>
      <c r="K37" s="152"/>
      <c r="L37" s="135"/>
      <c r="M37" s="135"/>
      <c r="N37" s="135"/>
      <c r="O37" s="135"/>
      <c r="P37" s="135"/>
      <c r="Q37" s="136"/>
      <c r="R37" s="136"/>
    </row>
    <row r="38" spans="1:18">
      <c r="A38" s="128"/>
      <c r="B38" s="129"/>
      <c r="C38" s="130"/>
      <c r="D38" s="129"/>
      <c r="E38" s="130"/>
      <c r="F38" s="131"/>
      <c r="G38" s="131"/>
      <c r="H38" s="131"/>
      <c r="I38" s="131"/>
      <c r="J38" s="131"/>
      <c r="K38" s="152"/>
      <c r="L38" s="131"/>
      <c r="M38" s="131"/>
      <c r="N38" s="131"/>
      <c r="O38" s="131"/>
      <c r="P38" s="131"/>
      <c r="Q38" s="132"/>
      <c r="R38" s="132"/>
    </row>
    <row r="39" spans="1:18">
      <c r="A39" s="128"/>
      <c r="B39" s="133"/>
      <c r="C39" s="134"/>
      <c r="D39" s="133"/>
      <c r="E39" s="134"/>
      <c r="F39" s="135"/>
      <c r="G39" s="135"/>
      <c r="H39" s="135"/>
      <c r="I39" s="135"/>
      <c r="J39" s="135"/>
      <c r="K39" s="152"/>
      <c r="L39" s="135"/>
      <c r="M39" s="135"/>
      <c r="N39" s="135"/>
      <c r="O39" s="135"/>
      <c r="P39" s="135"/>
      <c r="Q39" s="136"/>
      <c r="R39" s="136"/>
    </row>
    <row r="40" spans="1:18">
      <c r="A40" s="128"/>
      <c r="B40" s="129"/>
      <c r="C40" s="130"/>
      <c r="D40" s="129"/>
      <c r="E40" s="130"/>
      <c r="F40" s="131"/>
      <c r="G40" s="131"/>
      <c r="H40" s="131"/>
      <c r="I40" s="131"/>
      <c r="J40" s="131"/>
      <c r="K40" s="152"/>
      <c r="L40" s="131"/>
      <c r="M40" s="131"/>
      <c r="N40" s="131"/>
      <c r="O40" s="131"/>
      <c r="P40" s="131"/>
      <c r="Q40" s="132"/>
      <c r="R40" s="132"/>
    </row>
    <row r="41" spans="1:18">
      <c r="A41" s="128"/>
      <c r="B41" s="133"/>
      <c r="C41" s="134"/>
      <c r="D41" s="133"/>
      <c r="E41" s="134"/>
      <c r="F41" s="135"/>
      <c r="G41" s="135"/>
      <c r="H41" s="135"/>
      <c r="I41" s="135"/>
      <c r="J41" s="135"/>
      <c r="K41" s="152"/>
      <c r="L41" s="135"/>
      <c r="M41" s="135"/>
      <c r="N41" s="135"/>
      <c r="O41" s="135"/>
      <c r="P41" s="135"/>
      <c r="Q41" s="136"/>
      <c r="R41" s="136"/>
    </row>
    <row r="42" spans="1:18">
      <c r="A42" s="128" t="s">
        <v>100</v>
      </c>
      <c r="B42" s="129" t="s">
        <v>111</v>
      </c>
      <c r="C42" s="130" t="s">
        <v>112</v>
      </c>
      <c r="D42" s="129" t="s">
        <v>82</v>
      </c>
      <c r="E42" s="130" t="s">
        <v>1</v>
      </c>
      <c r="F42" s="131">
        <v>5000</v>
      </c>
      <c r="G42" s="131">
        <v>34600</v>
      </c>
      <c r="H42" s="131">
        <v>243277919</v>
      </c>
      <c r="I42" s="131">
        <v>173000000</v>
      </c>
      <c r="J42" s="131">
        <v>5000</v>
      </c>
      <c r="K42" s="131">
        <v>5000</v>
      </c>
      <c r="L42" s="131">
        <v>33900</v>
      </c>
      <c r="M42" s="131">
        <v>243277919</v>
      </c>
      <c r="N42" s="131">
        <v>169500000</v>
      </c>
      <c r="O42" s="131">
        <v>-3500000</v>
      </c>
      <c r="P42" s="131">
        <v>-73777919</v>
      </c>
      <c r="Q42" s="132">
        <v>-30.32</v>
      </c>
      <c r="R42" s="132">
        <v>-2.02</v>
      </c>
    </row>
    <row r="43" spans="1:18">
      <c r="A43" s="137" t="s">
        <v>160</v>
      </c>
      <c r="B43" s="137" t="s">
        <v>160</v>
      </c>
      <c r="C43" s="137" t="s">
        <v>160</v>
      </c>
      <c r="D43" s="137" t="s">
        <v>160</v>
      </c>
      <c r="E43" s="137" t="s">
        <v>160</v>
      </c>
      <c r="F43" s="137" t="s">
        <v>160</v>
      </c>
      <c r="G43" s="137" t="s">
        <v>160</v>
      </c>
      <c r="H43" s="138">
        <v>19705106458</v>
      </c>
      <c r="I43" s="138">
        <v>20542651000</v>
      </c>
      <c r="J43" s="138">
        <v>563573</v>
      </c>
      <c r="K43" s="138">
        <v>574896</v>
      </c>
      <c r="L43" s="137" t="s">
        <v>160</v>
      </c>
      <c r="M43" s="138">
        <v>18609428943</v>
      </c>
      <c r="N43" s="138">
        <v>19409563680</v>
      </c>
      <c r="O43" s="138">
        <v>-325831935</v>
      </c>
      <c r="P43" s="138">
        <v>511712607</v>
      </c>
      <c r="Q43" s="137" t="s">
        <v>160</v>
      </c>
      <c r="R43" s="137" t="s">
        <v>160</v>
      </c>
    </row>
    <row r="44" spans="1:18">
      <c r="A44" s="137"/>
      <c r="B44" s="137"/>
      <c r="C44" s="137"/>
      <c r="D44" s="137"/>
      <c r="E44" s="137"/>
      <c r="F44" s="137"/>
      <c r="G44" s="137"/>
      <c r="H44" s="138"/>
      <c r="I44" s="138"/>
      <c r="J44" s="138"/>
      <c r="K44" s="138"/>
      <c r="L44" s="137"/>
      <c r="M44" s="138"/>
      <c r="N44" s="138"/>
      <c r="O44" s="138"/>
      <c r="P44" s="138"/>
      <c r="Q44" s="137"/>
      <c r="R44" s="137"/>
    </row>
  </sheetData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0633-2CA1-4487-8E51-A288DEDA2710}">
  <dimension ref="A1:AX9"/>
  <sheetViews>
    <sheetView workbookViewId="0">
      <selection sqref="A1:AX9"/>
    </sheetView>
  </sheetViews>
  <sheetFormatPr defaultRowHeight="13.5"/>
  <cols>
    <col min="1" max="1" width="3.42578125" bestFit="1" customWidth="1"/>
    <col min="2" max="2" width="10.28515625" bestFit="1" customWidth="1"/>
    <col min="3" max="3" width="8.5703125" bestFit="1" customWidth="1"/>
    <col min="4" max="4" width="39.28515625" bestFit="1" customWidth="1"/>
    <col min="5" max="5" width="10.28515625" bestFit="1" customWidth="1"/>
    <col min="6" max="6" width="9.42578125" bestFit="1" customWidth="1"/>
    <col min="7" max="7" width="11.28515625" bestFit="1" customWidth="1"/>
    <col min="8" max="8" width="15.140625" bestFit="1" customWidth="1"/>
    <col min="9" max="9" width="10.28515625" bestFit="1" customWidth="1"/>
    <col min="10" max="11" width="15.140625" bestFit="1" customWidth="1"/>
    <col min="12" max="12" width="13.140625" bestFit="1" customWidth="1"/>
    <col min="13" max="14" width="15.140625" bestFit="1" customWidth="1"/>
    <col min="15" max="15" width="7.7109375" bestFit="1" customWidth="1"/>
    <col min="16" max="16" width="15.140625" bestFit="1" customWidth="1"/>
    <col min="17" max="17" width="6.85546875" bestFit="1" customWidth="1"/>
    <col min="18" max="18" width="15.140625" bestFit="1" customWidth="1"/>
    <col min="19" max="21" width="6.85546875" bestFit="1" customWidth="1"/>
    <col min="22" max="22" width="14.140625" bestFit="1" customWidth="1"/>
    <col min="23" max="23" width="6.85546875" bestFit="1" customWidth="1"/>
    <col min="24" max="24" width="15.140625" bestFit="1" customWidth="1"/>
    <col min="25" max="25" width="6.85546875" bestFit="1" customWidth="1"/>
    <col min="26" max="26" width="15.140625" bestFit="1" customWidth="1"/>
    <col min="27" max="27" width="7.7109375" bestFit="1" customWidth="1"/>
    <col min="28" max="28" width="8.5703125" bestFit="1" customWidth="1"/>
    <col min="29" max="29" width="6.85546875" bestFit="1" customWidth="1"/>
    <col min="30" max="30" width="14.140625" bestFit="1" customWidth="1"/>
    <col min="31" max="31" width="6.85546875" bestFit="1" customWidth="1"/>
    <col min="32" max="32" width="14.140625" bestFit="1" customWidth="1"/>
    <col min="33" max="33" width="6.85546875" bestFit="1" customWidth="1"/>
    <col min="34" max="34" width="8.5703125" bestFit="1" customWidth="1"/>
    <col min="35" max="35" width="6.85546875" bestFit="1" customWidth="1"/>
    <col min="36" max="36" width="8.5703125" bestFit="1" customWidth="1"/>
    <col min="37" max="37" width="6.85546875" bestFit="1" customWidth="1"/>
    <col min="38" max="38" width="14.140625" bestFit="1" customWidth="1"/>
    <col min="39" max="39" width="6.85546875" bestFit="1" customWidth="1"/>
    <col min="40" max="40" width="14.140625" bestFit="1" customWidth="1"/>
    <col min="41" max="41" width="6.85546875" bestFit="1" customWidth="1"/>
    <col min="42" max="42" width="12.28515625" bestFit="1" customWidth="1"/>
    <col min="43" max="43" width="6.85546875" bestFit="1" customWidth="1"/>
    <col min="44" max="44" width="8.5703125" bestFit="1" customWidth="1"/>
    <col min="45" max="45" width="6.85546875" bestFit="1" customWidth="1"/>
    <col min="46" max="46" width="9.42578125" bestFit="1" customWidth="1"/>
    <col min="47" max="47" width="10.28515625" bestFit="1" customWidth="1"/>
    <col min="48" max="48" width="9.42578125" bestFit="1" customWidth="1"/>
    <col min="49" max="49" width="10.28515625" bestFit="1" customWidth="1"/>
    <col min="50" max="50" width="6.85546875" bestFit="1" customWidth="1"/>
  </cols>
  <sheetData>
    <row r="1" spans="1:50" ht="13.5" customHeight="1">
      <c r="A1" s="120" t="s">
        <v>115</v>
      </c>
      <c r="B1" s="120" t="s">
        <v>125</v>
      </c>
      <c r="C1" s="120" t="s">
        <v>126</v>
      </c>
      <c r="D1" s="120" t="s">
        <v>23</v>
      </c>
      <c r="E1" s="120" t="s">
        <v>127</v>
      </c>
      <c r="F1" s="120" t="s">
        <v>128</v>
      </c>
      <c r="G1" s="120" t="s">
        <v>129</v>
      </c>
      <c r="H1" s="120" t="s">
        <v>130</v>
      </c>
      <c r="I1" s="120" t="s">
        <v>131</v>
      </c>
      <c r="J1" s="120" t="s">
        <v>132</v>
      </c>
      <c r="K1" s="120" t="s">
        <v>133</v>
      </c>
      <c r="L1" s="120" t="s">
        <v>134</v>
      </c>
      <c r="M1" s="120" t="s">
        <v>135</v>
      </c>
      <c r="N1" s="123" t="s">
        <v>136</v>
      </c>
      <c r="O1" s="115"/>
      <c r="P1" s="123" t="s">
        <v>137</v>
      </c>
      <c r="Q1" s="115"/>
      <c r="R1" s="123" t="s">
        <v>138</v>
      </c>
      <c r="S1" s="115"/>
      <c r="T1" s="123" t="s">
        <v>139</v>
      </c>
      <c r="U1" s="115"/>
      <c r="V1" s="123" t="s">
        <v>140</v>
      </c>
      <c r="W1" s="115"/>
      <c r="X1" s="123" t="s">
        <v>141</v>
      </c>
      <c r="Y1" s="115"/>
      <c r="Z1" s="123" t="s">
        <v>142</v>
      </c>
      <c r="AA1" s="115"/>
      <c r="AB1" s="123" t="s">
        <v>143</v>
      </c>
      <c r="AC1" s="115"/>
      <c r="AD1" s="123" t="s">
        <v>144</v>
      </c>
      <c r="AE1" s="115"/>
      <c r="AF1" s="123" t="s">
        <v>145</v>
      </c>
      <c r="AG1" s="115"/>
      <c r="AH1" s="123" t="s">
        <v>146</v>
      </c>
      <c r="AI1" s="115"/>
      <c r="AJ1" s="123" t="s">
        <v>147</v>
      </c>
      <c r="AK1" s="115"/>
      <c r="AL1" s="123" t="s">
        <v>148</v>
      </c>
      <c r="AM1" s="115"/>
      <c r="AN1" s="123" t="s">
        <v>149</v>
      </c>
      <c r="AO1" s="115"/>
      <c r="AP1" s="123" t="s">
        <v>150</v>
      </c>
      <c r="AQ1" s="115"/>
      <c r="AR1" s="123" t="s">
        <v>151</v>
      </c>
      <c r="AS1" s="115"/>
      <c r="AT1" s="120" t="s">
        <v>152</v>
      </c>
      <c r="AU1" s="120" t="s">
        <v>153</v>
      </c>
      <c r="AV1" s="120" t="s">
        <v>154</v>
      </c>
      <c r="AW1" s="120" t="s">
        <v>155</v>
      </c>
      <c r="AX1" s="120" t="s">
        <v>156</v>
      </c>
    </row>
    <row r="2" spans="1:50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04" t="s">
        <v>157</v>
      </c>
      <c r="O2" s="104" t="s">
        <v>158</v>
      </c>
      <c r="P2" s="104" t="s">
        <v>157</v>
      </c>
      <c r="Q2" s="104" t="s">
        <v>158</v>
      </c>
      <c r="R2" s="104" t="s">
        <v>157</v>
      </c>
      <c r="S2" s="104" t="s">
        <v>158</v>
      </c>
      <c r="T2" s="104" t="s">
        <v>157</v>
      </c>
      <c r="U2" s="104" t="s">
        <v>158</v>
      </c>
      <c r="V2" s="104" t="s">
        <v>157</v>
      </c>
      <c r="W2" s="104" t="s">
        <v>158</v>
      </c>
      <c r="X2" s="104" t="s">
        <v>157</v>
      </c>
      <c r="Y2" s="104" t="s">
        <v>158</v>
      </c>
      <c r="Z2" s="104" t="s">
        <v>157</v>
      </c>
      <c r="AA2" s="104" t="s">
        <v>158</v>
      </c>
      <c r="AB2" s="104" t="s">
        <v>157</v>
      </c>
      <c r="AC2" s="104" t="s">
        <v>158</v>
      </c>
      <c r="AD2" s="104" t="s">
        <v>157</v>
      </c>
      <c r="AE2" s="104" t="s">
        <v>158</v>
      </c>
      <c r="AF2" s="104" t="s">
        <v>157</v>
      </c>
      <c r="AG2" s="104" t="s">
        <v>158</v>
      </c>
      <c r="AH2" s="104" t="s">
        <v>157</v>
      </c>
      <c r="AI2" s="104" t="s">
        <v>158</v>
      </c>
      <c r="AJ2" s="104" t="s">
        <v>157</v>
      </c>
      <c r="AK2" s="104" t="s">
        <v>158</v>
      </c>
      <c r="AL2" s="104" t="s">
        <v>157</v>
      </c>
      <c r="AM2" s="104" t="s">
        <v>158</v>
      </c>
      <c r="AN2" s="104" t="s">
        <v>157</v>
      </c>
      <c r="AO2" s="104" t="s">
        <v>158</v>
      </c>
      <c r="AP2" s="104" t="s">
        <v>157</v>
      </c>
      <c r="AQ2" s="104" t="s">
        <v>158</v>
      </c>
      <c r="AR2" s="104" t="s">
        <v>157</v>
      </c>
      <c r="AS2" s="104" t="s">
        <v>158</v>
      </c>
      <c r="AT2" s="125"/>
      <c r="AU2" s="125"/>
      <c r="AV2" s="125"/>
      <c r="AW2" s="125"/>
      <c r="AX2" s="125"/>
    </row>
    <row r="3" spans="1:50">
      <c r="A3" s="110" t="s">
        <v>35</v>
      </c>
      <c r="B3" s="112">
        <v>46173</v>
      </c>
      <c r="C3" s="110" t="s">
        <v>193</v>
      </c>
      <c r="D3" s="113" t="s">
        <v>36</v>
      </c>
      <c r="E3" s="113" t="s">
        <v>159</v>
      </c>
      <c r="F3" s="109">
        <v>1509.24</v>
      </c>
      <c r="G3" s="107">
        <v>8.1273999999999999E-2</v>
      </c>
      <c r="H3" s="111">
        <v>11619642208</v>
      </c>
      <c r="I3" s="111">
        <v>0</v>
      </c>
      <c r="J3" s="111">
        <v>17536817757</v>
      </c>
      <c r="K3" s="111">
        <v>17536817757</v>
      </c>
      <c r="L3" s="111">
        <v>944366</v>
      </c>
      <c r="M3" s="111">
        <v>19299238271</v>
      </c>
      <c r="N3" s="111">
        <v>19299238271</v>
      </c>
      <c r="O3" s="109">
        <v>110.05</v>
      </c>
      <c r="P3" s="111">
        <v>6825569850</v>
      </c>
      <c r="Q3" s="109">
        <v>38.92</v>
      </c>
      <c r="R3" s="111">
        <v>9016851000</v>
      </c>
      <c r="S3" s="109">
        <v>51.42</v>
      </c>
      <c r="T3" s="111">
        <v>0</v>
      </c>
      <c r="U3" s="111">
        <v>0</v>
      </c>
      <c r="V3" s="111">
        <v>1946330037</v>
      </c>
      <c r="W3" s="114">
        <v>11.1</v>
      </c>
      <c r="X3" s="111">
        <v>0</v>
      </c>
      <c r="Y3" s="111">
        <v>0</v>
      </c>
      <c r="Z3" s="111">
        <v>0</v>
      </c>
      <c r="AA3" s="111">
        <v>0</v>
      </c>
      <c r="AB3" s="111">
        <v>0</v>
      </c>
      <c r="AC3" s="111">
        <v>0</v>
      </c>
      <c r="AD3" s="111">
        <v>1510487384</v>
      </c>
      <c r="AE3" s="109">
        <v>8.61</v>
      </c>
      <c r="AF3" s="111">
        <v>0</v>
      </c>
      <c r="AG3" s="111">
        <v>0</v>
      </c>
      <c r="AH3" s="111">
        <v>0</v>
      </c>
      <c r="AI3" s="111">
        <v>0</v>
      </c>
      <c r="AJ3" s="111">
        <v>0</v>
      </c>
      <c r="AK3" s="111">
        <v>0</v>
      </c>
      <c r="AL3" s="111">
        <v>0</v>
      </c>
      <c r="AM3" s="111">
        <v>0</v>
      </c>
      <c r="AN3" s="111">
        <v>0</v>
      </c>
      <c r="AO3" s="111">
        <v>0</v>
      </c>
      <c r="AP3" s="111">
        <v>0</v>
      </c>
      <c r="AQ3" s="111">
        <v>0</v>
      </c>
      <c r="AR3" s="111">
        <v>0</v>
      </c>
      <c r="AS3" s="111">
        <v>0</v>
      </c>
      <c r="AT3" s="109">
        <v>38.92</v>
      </c>
      <c r="AU3" s="111">
        <v>50</v>
      </c>
      <c r="AV3" s="109">
        <v>51.42</v>
      </c>
      <c r="AW3" s="111">
        <v>0</v>
      </c>
      <c r="AX3" s="113" t="s">
        <v>160</v>
      </c>
    </row>
    <row r="4" spans="1:50">
      <c r="A4" s="103" t="s">
        <v>39</v>
      </c>
      <c r="B4" s="108">
        <v>46173</v>
      </c>
      <c r="C4" s="103" t="s">
        <v>84</v>
      </c>
      <c r="D4" s="106" t="s">
        <v>85</v>
      </c>
      <c r="E4" s="106" t="s">
        <v>159</v>
      </c>
      <c r="F4" s="105">
        <v>1568.07</v>
      </c>
      <c r="G4" s="126">
        <v>5.3213000000000003E-2</v>
      </c>
      <c r="H4" s="127">
        <v>15500000000</v>
      </c>
      <c r="I4" s="127">
        <v>0</v>
      </c>
      <c r="J4" s="127">
        <v>24305121861</v>
      </c>
      <c r="K4" s="127">
        <v>24305121861</v>
      </c>
      <c r="L4" s="127">
        <v>824801</v>
      </c>
      <c r="M4" s="127">
        <v>26061886443</v>
      </c>
      <c r="N4" s="127">
        <v>26061886443</v>
      </c>
      <c r="O4" s="105">
        <v>107.23</v>
      </c>
      <c r="P4" s="127">
        <v>10545174850</v>
      </c>
      <c r="Q4" s="105">
        <v>43.39</v>
      </c>
      <c r="R4" s="127">
        <v>12908885000</v>
      </c>
      <c r="S4" s="105">
        <v>53.11</v>
      </c>
      <c r="T4" s="127">
        <v>0</v>
      </c>
      <c r="U4" s="127">
        <v>0</v>
      </c>
      <c r="V4" s="127">
        <v>1768273329</v>
      </c>
      <c r="W4" s="105">
        <v>7.28</v>
      </c>
      <c r="X4" s="127">
        <v>0</v>
      </c>
      <c r="Y4" s="127">
        <v>0</v>
      </c>
      <c r="Z4" s="127">
        <v>0</v>
      </c>
      <c r="AA4" s="127">
        <v>0</v>
      </c>
      <c r="AB4" s="127">
        <v>0</v>
      </c>
      <c r="AC4" s="127">
        <v>0</v>
      </c>
      <c r="AD4" s="127">
        <v>839553264</v>
      </c>
      <c r="AE4" s="105">
        <v>3.45</v>
      </c>
      <c r="AF4" s="127">
        <v>0</v>
      </c>
      <c r="AG4" s="127">
        <v>0</v>
      </c>
      <c r="AH4" s="127">
        <v>0</v>
      </c>
      <c r="AI4" s="127">
        <v>0</v>
      </c>
      <c r="AJ4" s="127">
        <v>0</v>
      </c>
      <c r="AK4" s="127">
        <v>0</v>
      </c>
      <c r="AL4" s="127">
        <v>0</v>
      </c>
      <c r="AM4" s="127">
        <v>0</v>
      </c>
      <c r="AN4" s="127">
        <v>0</v>
      </c>
      <c r="AO4" s="127">
        <v>0</v>
      </c>
      <c r="AP4" s="127">
        <v>0</v>
      </c>
      <c r="AQ4" s="127">
        <v>0</v>
      </c>
      <c r="AR4" s="127">
        <v>0</v>
      </c>
      <c r="AS4" s="127">
        <v>0</v>
      </c>
      <c r="AT4" s="105">
        <v>43.39</v>
      </c>
      <c r="AU4" s="127">
        <v>50</v>
      </c>
      <c r="AV4" s="105">
        <v>53.11</v>
      </c>
      <c r="AW4" s="127">
        <v>0</v>
      </c>
      <c r="AX4" s="106" t="s">
        <v>160</v>
      </c>
    </row>
    <row r="5" spans="1:50">
      <c r="A5" s="118" t="s">
        <v>40</v>
      </c>
      <c r="B5" s="121">
        <v>46173</v>
      </c>
      <c r="C5" s="118" t="s">
        <v>107</v>
      </c>
      <c r="D5" s="117" t="s">
        <v>108</v>
      </c>
      <c r="E5" s="117" t="s">
        <v>161</v>
      </c>
      <c r="F5" s="122">
        <v>1267.0999999999999</v>
      </c>
      <c r="G5" s="124">
        <v>2.7833E-2</v>
      </c>
      <c r="H5" s="116">
        <v>16000000000</v>
      </c>
      <c r="I5" s="116">
        <v>0</v>
      </c>
      <c r="J5" s="116">
        <v>20273651348</v>
      </c>
      <c r="K5" s="116">
        <v>20273651348</v>
      </c>
      <c r="L5" s="116">
        <v>445325</v>
      </c>
      <c r="M5" s="116">
        <v>22107775001</v>
      </c>
      <c r="N5" s="116">
        <v>22107775001</v>
      </c>
      <c r="O5" s="119">
        <v>109.05</v>
      </c>
      <c r="P5" s="116">
        <v>11171690005</v>
      </c>
      <c r="Q5" s="122">
        <v>55.1</v>
      </c>
      <c r="R5" s="116">
        <v>8596588500</v>
      </c>
      <c r="S5" s="122">
        <v>42.4</v>
      </c>
      <c r="T5" s="116">
        <v>0</v>
      </c>
      <c r="U5" s="116">
        <v>0</v>
      </c>
      <c r="V5" s="116">
        <v>1683807626</v>
      </c>
      <c r="W5" s="119">
        <v>8.31</v>
      </c>
      <c r="X5" s="116">
        <v>0</v>
      </c>
      <c r="Y5" s="116">
        <v>0</v>
      </c>
      <c r="Z5" s="116">
        <v>0</v>
      </c>
      <c r="AA5" s="116">
        <v>0</v>
      </c>
      <c r="AB5" s="116">
        <v>0</v>
      </c>
      <c r="AC5" s="116">
        <v>0</v>
      </c>
      <c r="AD5" s="116">
        <v>655688870</v>
      </c>
      <c r="AE5" s="119">
        <v>3.23</v>
      </c>
      <c r="AF5" s="116">
        <v>0</v>
      </c>
      <c r="AG5" s="116">
        <v>0</v>
      </c>
      <c r="AH5" s="116">
        <v>0</v>
      </c>
      <c r="AI5" s="116">
        <v>0</v>
      </c>
      <c r="AJ5" s="116">
        <v>0</v>
      </c>
      <c r="AK5" s="116">
        <v>0</v>
      </c>
      <c r="AL5" s="116">
        <v>0</v>
      </c>
      <c r="AM5" s="116">
        <v>0</v>
      </c>
      <c r="AN5" s="116">
        <v>0</v>
      </c>
      <c r="AO5" s="116">
        <v>0</v>
      </c>
      <c r="AP5" s="116">
        <v>0</v>
      </c>
      <c r="AQ5" s="116">
        <v>0</v>
      </c>
      <c r="AR5" s="116">
        <v>0</v>
      </c>
      <c r="AS5" s="116">
        <v>0</v>
      </c>
      <c r="AT5" s="122">
        <v>55.1</v>
      </c>
      <c r="AU5" s="116">
        <v>100</v>
      </c>
      <c r="AV5" s="122">
        <v>42.4</v>
      </c>
      <c r="AW5" s="116">
        <v>100</v>
      </c>
      <c r="AX5" s="117" t="s">
        <v>160</v>
      </c>
    </row>
    <row r="6" spans="1:50">
      <c r="A6" s="103" t="s">
        <v>41</v>
      </c>
      <c r="B6" s="108">
        <v>46173</v>
      </c>
      <c r="C6" s="103" t="s">
        <v>194</v>
      </c>
      <c r="D6" s="106" t="s">
        <v>162</v>
      </c>
      <c r="E6" s="106" t="s">
        <v>161</v>
      </c>
      <c r="F6" s="105">
        <v>1209.31</v>
      </c>
      <c r="G6" s="126">
        <v>1.2493000000000001E-2</v>
      </c>
      <c r="H6" s="127">
        <v>20500000000</v>
      </c>
      <c r="I6" s="127">
        <v>0</v>
      </c>
      <c r="J6" s="127">
        <v>24790815021</v>
      </c>
      <c r="K6" s="127">
        <v>24790815021</v>
      </c>
      <c r="L6" s="127">
        <v>256115</v>
      </c>
      <c r="M6" s="127">
        <v>24800055304</v>
      </c>
      <c r="N6" s="127">
        <v>24800055304</v>
      </c>
      <c r="O6" s="105">
        <v>100.04</v>
      </c>
      <c r="P6" s="127">
        <v>11707355</v>
      </c>
      <c r="Q6" s="105">
        <v>0.05</v>
      </c>
      <c r="R6" s="127">
        <v>0</v>
      </c>
      <c r="S6" s="127">
        <v>0</v>
      </c>
      <c r="T6" s="127">
        <v>0</v>
      </c>
      <c r="U6" s="127">
        <v>0</v>
      </c>
      <c r="V6" s="127">
        <v>8028456103</v>
      </c>
      <c r="W6" s="105">
        <v>32.380000000000003</v>
      </c>
      <c r="X6" s="127">
        <v>16759891846</v>
      </c>
      <c r="Y6" s="105">
        <v>67.61</v>
      </c>
      <c r="Z6" s="127">
        <v>0</v>
      </c>
      <c r="AA6" s="127">
        <v>0</v>
      </c>
      <c r="AB6" s="127">
        <v>0</v>
      </c>
      <c r="AC6" s="127">
        <v>0</v>
      </c>
      <c r="AD6" s="127">
        <v>0</v>
      </c>
      <c r="AE6" s="127">
        <v>0</v>
      </c>
      <c r="AF6" s="127">
        <v>0</v>
      </c>
      <c r="AG6" s="127">
        <v>0</v>
      </c>
      <c r="AH6" s="127">
        <v>0</v>
      </c>
      <c r="AI6" s="127">
        <v>0</v>
      </c>
      <c r="AJ6" s="127">
        <v>0</v>
      </c>
      <c r="AK6" s="127">
        <v>0</v>
      </c>
      <c r="AL6" s="127">
        <v>0</v>
      </c>
      <c r="AM6" s="127">
        <v>0</v>
      </c>
      <c r="AN6" s="127">
        <v>0</v>
      </c>
      <c r="AO6" s="127">
        <v>0</v>
      </c>
      <c r="AP6" s="127">
        <v>0</v>
      </c>
      <c r="AQ6" s="127">
        <v>0</v>
      </c>
      <c r="AR6" s="127">
        <v>0</v>
      </c>
      <c r="AS6" s="127">
        <v>0</v>
      </c>
      <c r="AT6" s="105">
        <v>0.05</v>
      </c>
      <c r="AU6" s="127">
        <v>100</v>
      </c>
      <c r="AV6" s="127">
        <v>0</v>
      </c>
      <c r="AW6" s="127">
        <v>0</v>
      </c>
      <c r="AX6" s="106" t="s">
        <v>160</v>
      </c>
    </row>
    <row r="7" spans="1:50">
      <c r="A7" s="118" t="s">
        <v>44</v>
      </c>
      <c r="B7" s="121">
        <v>46173</v>
      </c>
      <c r="C7" s="118" t="s">
        <v>195</v>
      </c>
      <c r="D7" s="117" t="s">
        <v>163</v>
      </c>
      <c r="E7" s="117" t="s">
        <v>161</v>
      </c>
      <c r="F7" s="119">
        <v>1457.27</v>
      </c>
      <c r="G7" s="124">
        <v>-3.7697000000000001E-2</v>
      </c>
      <c r="H7" s="116">
        <v>20200000000</v>
      </c>
      <c r="I7" s="116">
        <v>0</v>
      </c>
      <c r="J7" s="116">
        <v>29436781551</v>
      </c>
      <c r="K7" s="116">
        <v>29436781551</v>
      </c>
      <c r="L7" s="116">
        <v>-761486</v>
      </c>
      <c r="M7" s="116">
        <v>29621878365</v>
      </c>
      <c r="N7" s="116">
        <v>21042780190</v>
      </c>
      <c r="O7" s="119">
        <v>71.48</v>
      </c>
      <c r="P7" s="116">
        <v>15748945985</v>
      </c>
      <c r="Q7" s="122">
        <v>53.5</v>
      </c>
      <c r="R7" s="116">
        <v>3295698000</v>
      </c>
      <c r="S7" s="122">
        <v>11.2</v>
      </c>
      <c r="T7" s="116">
        <v>0</v>
      </c>
      <c r="U7" s="116">
        <v>0</v>
      </c>
      <c r="V7" s="116">
        <v>968898671</v>
      </c>
      <c r="W7" s="119">
        <v>3.29</v>
      </c>
      <c r="X7" s="116">
        <v>0</v>
      </c>
      <c r="Y7" s="116">
        <v>0</v>
      </c>
      <c r="Z7" s="116">
        <v>-4699530000</v>
      </c>
      <c r="AA7" s="119">
        <v>-15.96</v>
      </c>
      <c r="AB7" s="116">
        <v>0</v>
      </c>
      <c r="AC7" s="116">
        <v>0</v>
      </c>
      <c r="AD7" s="116">
        <v>1029237534</v>
      </c>
      <c r="AE7" s="122">
        <v>3.5</v>
      </c>
      <c r="AF7" s="116">
        <v>8450499942</v>
      </c>
      <c r="AG7" s="119">
        <v>28.71</v>
      </c>
      <c r="AH7" s="116">
        <v>0</v>
      </c>
      <c r="AI7" s="116">
        <v>0</v>
      </c>
      <c r="AJ7" s="116">
        <v>0</v>
      </c>
      <c r="AK7" s="116">
        <v>0</v>
      </c>
      <c r="AL7" s="116">
        <v>2218579210</v>
      </c>
      <c r="AM7" s="119">
        <v>7.54</v>
      </c>
      <c r="AN7" s="116">
        <v>6231920732</v>
      </c>
      <c r="AO7" s="119">
        <v>21.17</v>
      </c>
      <c r="AP7" s="116">
        <v>1738338785</v>
      </c>
      <c r="AQ7" s="119">
        <v>5.91</v>
      </c>
      <c r="AR7" s="116">
        <v>0</v>
      </c>
      <c r="AS7" s="116">
        <v>0</v>
      </c>
      <c r="AT7" s="119">
        <v>52.12</v>
      </c>
      <c r="AU7" s="116">
        <v>100</v>
      </c>
      <c r="AV7" s="122">
        <v>11.2</v>
      </c>
      <c r="AW7" s="116">
        <v>100</v>
      </c>
      <c r="AX7" s="117" t="s">
        <v>160</v>
      </c>
    </row>
    <row r="8" spans="1:50">
      <c r="A8" s="103" t="s">
        <v>46</v>
      </c>
      <c r="B8" s="108">
        <v>46173</v>
      </c>
      <c r="C8" s="103" t="s">
        <v>191</v>
      </c>
      <c r="D8" s="106" t="s">
        <v>164</v>
      </c>
      <c r="E8" s="106" t="s">
        <v>165</v>
      </c>
      <c r="F8" s="105">
        <v>994.66</v>
      </c>
      <c r="G8" s="126">
        <v>2.7439999999999999E-3</v>
      </c>
      <c r="H8" s="127">
        <v>11494929025</v>
      </c>
      <c r="I8" s="127">
        <v>0</v>
      </c>
      <c r="J8" s="127">
        <v>11433535935</v>
      </c>
      <c r="K8" s="127">
        <v>11433535935</v>
      </c>
      <c r="L8" s="127">
        <v>31545</v>
      </c>
      <c r="M8" s="127">
        <v>11911383580</v>
      </c>
      <c r="N8" s="127">
        <v>11911383580</v>
      </c>
      <c r="O8" s="105">
        <v>104.18</v>
      </c>
      <c r="P8" s="127">
        <v>10192795300</v>
      </c>
      <c r="Q8" s="105">
        <v>89.15</v>
      </c>
      <c r="R8" s="127">
        <v>0</v>
      </c>
      <c r="S8" s="127">
        <v>0</v>
      </c>
      <c r="T8" s="127">
        <v>0</v>
      </c>
      <c r="U8" s="127">
        <v>0</v>
      </c>
      <c r="V8" s="127">
        <v>788141357</v>
      </c>
      <c r="W8" s="105">
        <v>6.89</v>
      </c>
      <c r="X8" s="127">
        <v>0</v>
      </c>
      <c r="Y8" s="127">
        <v>0</v>
      </c>
      <c r="Z8" s="127">
        <v>0</v>
      </c>
      <c r="AA8" s="127">
        <v>0</v>
      </c>
      <c r="AB8" s="127">
        <v>0</v>
      </c>
      <c r="AC8" s="127">
        <v>0</v>
      </c>
      <c r="AD8" s="127">
        <v>930446923</v>
      </c>
      <c r="AE8" s="105">
        <v>8.14</v>
      </c>
      <c r="AF8" s="127">
        <v>0</v>
      </c>
      <c r="AG8" s="127">
        <v>0</v>
      </c>
      <c r="AH8" s="127">
        <v>0</v>
      </c>
      <c r="AI8" s="127">
        <v>0</v>
      </c>
      <c r="AJ8" s="127">
        <v>0</v>
      </c>
      <c r="AK8" s="127">
        <v>0</v>
      </c>
      <c r="AL8" s="127">
        <v>0</v>
      </c>
      <c r="AM8" s="127">
        <v>0</v>
      </c>
      <c r="AN8" s="127">
        <v>0</v>
      </c>
      <c r="AO8" s="127">
        <v>0</v>
      </c>
      <c r="AP8" s="127">
        <v>0</v>
      </c>
      <c r="AQ8" s="127">
        <v>0</v>
      </c>
      <c r="AR8" s="127">
        <v>0</v>
      </c>
      <c r="AS8" s="127">
        <v>0</v>
      </c>
      <c r="AT8" s="105">
        <v>89.15</v>
      </c>
      <c r="AU8" s="127">
        <v>0</v>
      </c>
      <c r="AV8" s="127">
        <v>0</v>
      </c>
      <c r="AW8" s="127">
        <v>0</v>
      </c>
      <c r="AX8" s="106" t="s">
        <v>160</v>
      </c>
    </row>
    <row r="9" spans="1:50">
      <c r="A9" s="118" t="s">
        <v>47</v>
      </c>
      <c r="B9" s="121">
        <v>46173</v>
      </c>
      <c r="C9" s="118" t="s">
        <v>111</v>
      </c>
      <c r="D9" s="117" t="s">
        <v>112</v>
      </c>
      <c r="E9" s="117" t="s">
        <v>166</v>
      </c>
      <c r="F9" s="122">
        <v>1091.2</v>
      </c>
      <c r="G9" s="124">
        <v>-2.2346000000000001E-2</v>
      </c>
      <c r="H9" s="116">
        <v>20097833000</v>
      </c>
      <c r="I9" s="116">
        <v>0</v>
      </c>
      <c r="J9" s="116">
        <v>21930791051</v>
      </c>
      <c r="K9" s="116">
        <v>21930791051</v>
      </c>
      <c r="L9" s="116">
        <v>-449110</v>
      </c>
      <c r="M9" s="116">
        <v>23984039737</v>
      </c>
      <c r="N9" s="116">
        <v>23984039737</v>
      </c>
      <c r="O9" s="119">
        <v>109.36</v>
      </c>
      <c r="P9" s="116">
        <v>9525629580</v>
      </c>
      <c r="Q9" s="119">
        <v>43.43</v>
      </c>
      <c r="R9" s="116">
        <v>11537810000</v>
      </c>
      <c r="S9" s="119">
        <v>52.61</v>
      </c>
      <c r="T9" s="116">
        <v>0</v>
      </c>
      <c r="U9" s="116">
        <v>0</v>
      </c>
      <c r="V9" s="116">
        <v>2266911582</v>
      </c>
      <c r="W9" s="119">
        <v>10.34</v>
      </c>
      <c r="X9" s="116">
        <v>0</v>
      </c>
      <c r="Y9" s="116">
        <v>0</v>
      </c>
      <c r="Z9" s="116">
        <v>0</v>
      </c>
      <c r="AA9" s="116">
        <v>0</v>
      </c>
      <c r="AB9" s="116">
        <v>0</v>
      </c>
      <c r="AC9" s="116">
        <v>0</v>
      </c>
      <c r="AD9" s="116">
        <v>653688575</v>
      </c>
      <c r="AE9" s="119">
        <v>2.98</v>
      </c>
      <c r="AF9" s="116">
        <v>0</v>
      </c>
      <c r="AG9" s="116">
        <v>0</v>
      </c>
      <c r="AH9" s="116">
        <v>0</v>
      </c>
      <c r="AI9" s="116">
        <v>0</v>
      </c>
      <c r="AJ9" s="116">
        <v>0</v>
      </c>
      <c r="AK9" s="116">
        <v>0</v>
      </c>
      <c r="AL9" s="116">
        <v>0</v>
      </c>
      <c r="AM9" s="116">
        <v>0</v>
      </c>
      <c r="AN9" s="116">
        <v>0</v>
      </c>
      <c r="AO9" s="116">
        <v>0</v>
      </c>
      <c r="AP9" s="116">
        <v>0</v>
      </c>
      <c r="AQ9" s="116">
        <v>0</v>
      </c>
      <c r="AR9" s="116">
        <v>0</v>
      </c>
      <c r="AS9" s="116">
        <v>0</v>
      </c>
      <c r="AT9" s="119">
        <v>43.43</v>
      </c>
      <c r="AU9" s="116">
        <v>50</v>
      </c>
      <c r="AV9" s="119">
        <v>52.61</v>
      </c>
      <c r="AW9" s="116">
        <v>0</v>
      </c>
      <c r="AX9" s="117" t="s">
        <v>160</v>
      </c>
    </row>
  </sheetData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MP</vt:lpstr>
      <vt:lpstr>인컴2</vt:lpstr>
      <vt:lpstr>블루1</vt:lpstr>
      <vt:lpstr>블루3</vt:lpstr>
      <vt:lpstr>아이타스41718_편드편입비정보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Seunghun Shin</cp:lastModifiedBy>
  <cp:lastPrinted>2026-04-21T06:32:51Z</cp:lastPrinted>
  <dcterms:created xsi:type="dcterms:W3CDTF">2026-03-30T06:04:34Z</dcterms:created>
  <dcterms:modified xsi:type="dcterms:W3CDTF">2026-06-04T05:34:43Z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lD3p+t9kHKpyNKaF0rlaZg==</vt:lpwstr>
  </property>
  <property fmtid="{D5CDD505-2E9C-101B-9397-08002B2CF9AE}" pid="3" name="DST date">
    <vt:lpwstr>20260330193606</vt:lpwstr>
  </property>
</Properties>
</file>